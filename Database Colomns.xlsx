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8431"/>
  <workbookPr filterPrivacy="1"/>
  <bookViews>
    <workbookView xWindow="0" yWindow="0" windowWidth="22260" windowHeight="12645" activeTab="3"/>
  </bookViews>
  <sheets>
    <sheet name="OfferGeneral" sheetId="1" r:id="rId1"/>
    <sheet name="OfferDetail" sheetId="2" r:id="rId2"/>
    <sheet name="OrderGeneral" sheetId="3" r:id="rId3"/>
    <sheet name="OrderDetail" sheetId="4" r:id="rId4"/>
    <sheet name="SAme Order" sheetId="5" r:id="rId5"/>
    <sheet name="SameOffer" sheetId="6" r:id="rId6"/>
  </sheets>
  <definedNames>
    <definedName name="_xlnm._FilterDatabase" localSheetId="4" hidden="1">'SAme Order'!$A$1:$A$40</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6" l="1"/>
  <c r="C2" i="6" s="1"/>
  <c r="B3" i="6"/>
  <c r="C3" i="6" s="1"/>
  <c r="B4" i="6"/>
  <c r="C4" i="6" s="1"/>
  <c r="B5" i="6"/>
  <c r="C5" i="6" s="1"/>
  <c r="B6" i="6"/>
  <c r="C6" i="6" s="1"/>
  <c r="B7" i="6"/>
  <c r="C7" i="6" s="1"/>
  <c r="B8" i="6"/>
  <c r="C8" i="6" s="1"/>
  <c r="B9" i="6"/>
  <c r="C9" i="6"/>
  <c r="B10" i="6"/>
  <c r="C10" i="6" s="1"/>
  <c r="B11" i="6"/>
  <c r="C11" i="6" s="1"/>
  <c r="B12" i="6"/>
  <c r="C12" i="6" s="1"/>
  <c r="B13" i="6"/>
  <c r="C13" i="6" s="1"/>
  <c r="B14" i="6"/>
  <c r="C14" i="6" s="1"/>
  <c r="B15" i="6"/>
  <c r="C15" i="6"/>
  <c r="B16" i="6"/>
  <c r="C16" i="6" s="1"/>
  <c r="B17" i="6"/>
  <c r="C17" i="6" s="1"/>
  <c r="B18" i="6"/>
  <c r="C18" i="6" s="1"/>
  <c r="B19" i="6"/>
  <c r="C19" i="6"/>
  <c r="B20" i="6"/>
  <c r="C20" i="6" s="1"/>
  <c r="B21" i="6"/>
  <c r="C21" i="6" s="1"/>
  <c r="B22" i="6"/>
  <c r="C22" i="6" s="1"/>
  <c r="B1" i="6"/>
  <c r="C1" i="6" s="1"/>
  <c r="B1" i="5"/>
  <c r="C1" i="5" s="1"/>
  <c r="B2" i="5"/>
  <c r="C2" i="5" s="1"/>
  <c r="B3" i="5"/>
  <c r="C3" i="5" s="1"/>
  <c r="B4" i="5"/>
  <c r="C4" i="5" s="1"/>
  <c r="B5" i="5"/>
  <c r="C5" i="5" s="1"/>
  <c r="B6" i="5"/>
  <c r="C6" i="5" s="1"/>
  <c r="B7" i="5"/>
  <c r="C7" i="5" s="1"/>
  <c r="B8" i="5"/>
  <c r="C8" i="5" s="1"/>
  <c r="B9" i="5"/>
  <c r="C9" i="5" s="1"/>
  <c r="B10" i="5"/>
  <c r="C10" i="5"/>
  <c r="B11" i="5"/>
  <c r="C11" i="5" s="1"/>
  <c r="B12" i="5"/>
  <c r="C12" i="5" s="1"/>
  <c r="B13" i="5"/>
  <c r="C13" i="5" s="1"/>
  <c r="B14" i="5"/>
  <c r="C14" i="5" s="1"/>
  <c r="B15" i="5"/>
  <c r="C15" i="5" s="1"/>
  <c r="B16" i="5"/>
  <c r="C16" i="5"/>
  <c r="B17" i="5"/>
  <c r="C17" i="5" s="1"/>
  <c r="B18" i="5"/>
  <c r="C18" i="5"/>
  <c r="B19" i="5"/>
  <c r="C19" i="5" s="1"/>
  <c r="B20" i="5"/>
  <c r="C20" i="5" s="1"/>
  <c r="B21" i="5"/>
  <c r="C21" i="5" s="1"/>
  <c r="B22" i="5"/>
  <c r="C22" i="5" s="1"/>
  <c r="B23" i="5"/>
  <c r="C23" i="5" s="1"/>
  <c r="B24" i="5"/>
  <c r="C24" i="5"/>
  <c r="B25" i="5"/>
  <c r="C25" i="5" s="1"/>
  <c r="B26" i="5"/>
  <c r="C26" i="5" s="1"/>
  <c r="B27" i="5"/>
  <c r="C27" i="5" s="1"/>
  <c r="B28" i="5"/>
  <c r="C28" i="5"/>
  <c r="B29" i="5"/>
  <c r="C29" i="5" s="1"/>
  <c r="B30" i="5"/>
  <c r="C30" i="5" s="1"/>
  <c r="B31" i="5"/>
  <c r="C31" i="5" s="1"/>
  <c r="B32" i="5"/>
  <c r="C32" i="5" s="1"/>
  <c r="B33" i="5"/>
  <c r="C33" i="5" s="1"/>
  <c r="B34" i="5"/>
  <c r="C34" i="5"/>
  <c r="B35" i="5"/>
  <c r="C35" i="5" s="1"/>
  <c r="B36" i="5"/>
  <c r="C36" i="5"/>
  <c r="B37" i="5"/>
  <c r="C37" i="5" s="1"/>
  <c r="B38" i="5"/>
  <c r="C38" i="5" s="1"/>
  <c r="B39" i="5"/>
  <c r="C39" i="5" s="1"/>
  <c r="B40" i="5"/>
  <c r="C40" i="5"/>
  <c r="B2" i="4"/>
  <c r="C2" i="4" s="1"/>
  <c r="B3" i="4"/>
  <c r="C3" i="4" s="1"/>
  <c r="B4" i="4"/>
  <c r="C4" i="4" s="1"/>
  <c r="B5" i="4"/>
  <c r="C5" i="4" s="1"/>
  <c r="B6" i="4"/>
  <c r="C6" i="4" s="1"/>
  <c r="B7" i="4"/>
  <c r="C7" i="4"/>
  <c r="B8" i="4"/>
  <c r="C8" i="4" s="1"/>
  <c r="B9" i="4"/>
  <c r="C9" i="4"/>
  <c r="B10" i="4"/>
  <c r="C10" i="4" s="1"/>
  <c r="B11" i="4"/>
  <c r="C11" i="4"/>
  <c r="B12" i="4"/>
  <c r="C12" i="4" s="1"/>
  <c r="B13" i="4"/>
  <c r="C13" i="4" s="1"/>
  <c r="B14" i="4"/>
  <c r="C14" i="4" s="1"/>
  <c r="B15" i="4"/>
  <c r="C15" i="4"/>
  <c r="B16" i="4"/>
  <c r="C16" i="4" s="1"/>
  <c r="B17" i="4"/>
  <c r="C17" i="4"/>
  <c r="B18" i="4"/>
  <c r="C18" i="4" s="1"/>
  <c r="B19" i="4"/>
  <c r="C19" i="4"/>
  <c r="B20" i="4"/>
  <c r="C20" i="4" s="1"/>
  <c r="B21" i="4"/>
  <c r="C21" i="4" s="1"/>
  <c r="B22" i="4"/>
  <c r="C22" i="4" s="1"/>
  <c r="B23" i="4"/>
  <c r="C23" i="4"/>
  <c r="B24" i="4"/>
  <c r="C24" i="4" s="1"/>
  <c r="B25" i="4"/>
  <c r="C25" i="4"/>
  <c r="B26" i="4"/>
  <c r="C26" i="4" s="1"/>
  <c r="B27" i="4"/>
  <c r="C27" i="4"/>
  <c r="B28" i="4"/>
  <c r="C28" i="4" s="1"/>
  <c r="B29" i="4"/>
  <c r="C29" i="4" s="1"/>
  <c r="B30" i="4"/>
  <c r="C30" i="4" s="1"/>
  <c r="B31" i="4"/>
  <c r="C31" i="4" s="1"/>
  <c r="B32" i="4"/>
  <c r="C32" i="4" s="1"/>
  <c r="B33" i="4"/>
  <c r="C33" i="4"/>
  <c r="B34" i="4"/>
  <c r="C34" i="4" s="1"/>
  <c r="B35" i="4"/>
  <c r="C35" i="4" s="1"/>
  <c r="B36" i="4"/>
  <c r="C36" i="4" s="1"/>
  <c r="B37" i="4"/>
  <c r="C37" i="4"/>
  <c r="B38" i="4"/>
  <c r="C38" i="4" s="1"/>
  <c r="B39" i="4"/>
  <c r="C39" i="4"/>
  <c r="B40" i="4"/>
  <c r="C40" i="4" s="1"/>
  <c r="B41" i="4"/>
  <c r="C41" i="4"/>
  <c r="B42" i="4"/>
  <c r="C42" i="4" s="1"/>
  <c r="B43" i="4"/>
  <c r="C43" i="4" s="1"/>
  <c r="B44" i="4"/>
  <c r="C44" i="4" s="1"/>
  <c r="B45" i="4"/>
  <c r="C45" i="4"/>
  <c r="B46" i="4"/>
  <c r="C46" i="4" s="1"/>
  <c r="B47" i="4"/>
  <c r="C47" i="4"/>
  <c r="B48" i="4"/>
  <c r="C48" i="4" s="1"/>
  <c r="B49" i="4"/>
  <c r="C49" i="4"/>
  <c r="B50" i="4"/>
  <c r="C50" i="4" s="1"/>
  <c r="B51" i="4"/>
  <c r="C51" i="4" s="1"/>
  <c r="B52" i="4"/>
  <c r="C52" i="4" s="1"/>
  <c r="B53" i="4"/>
  <c r="C53" i="4"/>
  <c r="B54" i="4"/>
  <c r="C54" i="4" s="1"/>
  <c r="B55" i="4"/>
  <c r="C55" i="4"/>
  <c r="B56" i="4"/>
  <c r="C56" i="4" s="1"/>
  <c r="B57" i="4"/>
  <c r="C57" i="4"/>
  <c r="B58" i="4"/>
  <c r="C58" i="4" s="1"/>
  <c r="B59" i="4"/>
  <c r="C59" i="4" s="1"/>
  <c r="B60" i="4"/>
  <c r="C60" i="4" s="1"/>
  <c r="B61" i="4"/>
  <c r="C61" i="4"/>
  <c r="B62" i="4"/>
  <c r="C62" i="4" s="1"/>
  <c r="B63" i="4"/>
  <c r="C63" i="4" s="1"/>
  <c r="B64" i="4"/>
  <c r="C64" i="4" s="1"/>
  <c r="B65" i="4"/>
  <c r="C65" i="4"/>
  <c r="B66" i="4"/>
  <c r="C66" i="4" s="1"/>
  <c r="B1" i="4"/>
  <c r="C1" i="4" s="1"/>
  <c r="B2" i="3"/>
  <c r="C2" i="3" s="1"/>
  <c r="B3" i="3"/>
  <c r="C3" i="3"/>
  <c r="B4" i="3"/>
  <c r="C4" i="3" s="1"/>
  <c r="B5" i="3"/>
  <c r="C5" i="3"/>
  <c r="B6" i="3"/>
  <c r="C6" i="3" s="1"/>
  <c r="B7" i="3"/>
  <c r="C7" i="3"/>
  <c r="B8" i="3"/>
  <c r="C8" i="3" s="1"/>
  <c r="B9" i="3"/>
  <c r="C9" i="3"/>
  <c r="B10" i="3"/>
  <c r="C10" i="3" s="1"/>
  <c r="B11" i="3"/>
  <c r="C11" i="3"/>
  <c r="B12" i="3"/>
  <c r="C12" i="3" s="1"/>
  <c r="B13" i="3"/>
  <c r="C13" i="3"/>
  <c r="B14" i="3"/>
  <c r="C14" i="3" s="1"/>
  <c r="B15" i="3"/>
  <c r="C15" i="3"/>
  <c r="B16" i="3"/>
  <c r="C16" i="3" s="1"/>
  <c r="B17" i="3"/>
  <c r="C17" i="3"/>
  <c r="B18" i="3"/>
  <c r="C18" i="3" s="1"/>
  <c r="B19" i="3"/>
  <c r="C19" i="3"/>
  <c r="B20" i="3"/>
  <c r="C20" i="3" s="1"/>
  <c r="B21" i="3"/>
  <c r="C21" i="3"/>
  <c r="B22" i="3"/>
  <c r="C22" i="3" s="1"/>
  <c r="B23" i="3"/>
  <c r="C23" i="3"/>
  <c r="B24" i="3"/>
  <c r="C24" i="3" s="1"/>
  <c r="B25" i="3"/>
  <c r="C25" i="3"/>
  <c r="B26" i="3"/>
  <c r="C26" i="3" s="1"/>
  <c r="B27" i="3"/>
  <c r="C27" i="3" s="1"/>
  <c r="B28" i="3"/>
  <c r="C28" i="3" s="1"/>
  <c r="B29" i="3"/>
  <c r="C29" i="3"/>
  <c r="B30" i="3"/>
  <c r="C30" i="3" s="1"/>
  <c r="B31" i="3"/>
  <c r="C31" i="3"/>
  <c r="B32" i="3"/>
  <c r="C32" i="3" s="1"/>
  <c r="B33" i="3"/>
  <c r="C33" i="3"/>
  <c r="B34" i="3"/>
  <c r="C34" i="3" s="1"/>
  <c r="B35" i="3"/>
  <c r="C35" i="3"/>
  <c r="B36" i="3"/>
  <c r="C36" i="3" s="1"/>
  <c r="B37" i="3"/>
  <c r="C37" i="3"/>
  <c r="B38" i="3"/>
  <c r="C38" i="3" s="1"/>
  <c r="B39" i="3"/>
  <c r="C39" i="3"/>
  <c r="B40" i="3"/>
  <c r="C40" i="3" s="1"/>
  <c r="B41" i="3"/>
  <c r="C41" i="3"/>
  <c r="B42" i="3"/>
  <c r="C42" i="3" s="1"/>
  <c r="B43" i="3"/>
  <c r="C43" i="3"/>
  <c r="B44" i="3"/>
  <c r="C44" i="3" s="1"/>
  <c r="B1" i="3"/>
  <c r="C1" i="3" s="1"/>
  <c r="B2" i="2"/>
  <c r="C2" i="2" s="1"/>
  <c r="B3" i="2"/>
  <c r="C3" i="2" s="1"/>
  <c r="B4" i="2"/>
  <c r="C4" i="2"/>
  <c r="B5" i="2"/>
  <c r="C5" i="2" s="1"/>
  <c r="B6" i="2"/>
  <c r="C6" i="2"/>
  <c r="B7" i="2"/>
  <c r="C7" i="2" s="1"/>
  <c r="B8" i="2"/>
  <c r="C8" i="2"/>
  <c r="B9" i="2"/>
  <c r="C9" i="2" s="1"/>
  <c r="B10" i="2"/>
  <c r="C10" i="2"/>
  <c r="B11" i="2"/>
  <c r="C11" i="2" s="1"/>
  <c r="B12" i="2"/>
  <c r="C12" i="2"/>
  <c r="B13" i="2"/>
  <c r="C13" i="2" s="1"/>
  <c r="B14" i="2"/>
  <c r="C14" i="2"/>
  <c r="B15" i="2"/>
  <c r="C15" i="2" s="1"/>
  <c r="B16" i="2"/>
  <c r="C16" i="2"/>
  <c r="B17" i="2"/>
  <c r="C17" i="2" s="1"/>
  <c r="B18" i="2"/>
  <c r="C18" i="2"/>
  <c r="B19" i="2"/>
  <c r="C19" i="2" s="1"/>
  <c r="B20" i="2"/>
  <c r="C20" i="2"/>
  <c r="B21" i="2"/>
  <c r="C21" i="2" s="1"/>
  <c r="B22" i="2"/>
  <c r="C22" i="2"/>
  <c r="B23" i="2"/>
  <c r="C23" i="2" s="1"/>
  <c r="B24" i="2"/>
  <c r="C24" i="2"/>
  <c r="B25" i="2"/>
  <c r="C25" i="2" s="1"/>
  <c r="B26" i="2"/>
  <c r="C26" i="2"/>
  <c r="B27" i="2"/>
  <c r="C27" i="2" s="1"/>
  <c r="B28" i="2"/>
  <c r="C28" i="2"/>
  <c r="B29" i="2"/>
  <c r="C29" i="2" s="1"/>
  <c r="B30" i="2"/>
  <c r="C30" i="2"/>
  <c r="B31" i="2"/>
  <c r="C31" i="2" s="1"/>
  <c r="B32" i="2"/>
  <c r="C32" i="2"/>
  <c r="B33" i="2"/>
  <c r="C33" i="2" s="1"/>
  <c r="B1" i="2"/>
  <c r="C1" i="2" s="1"/>
  <c r="C2" i="1"/>
  <c r="C5" i="1"/>
  <c r="C6" i="1"/>
  <c r="C9" i="1"/>
  <c r="C10" i="1"/>
  <c r="C13" i="1"/>
  <c r="C14" i="1"/>
  <c r="C17" i="1"/>
  <c r="C18" i="1"/>
  <c r="C21" i="1"/>
  <c r="C22" i="1"/>
  <c r="C25" i="1"/>
  <c r="C26" i="1"/>
  <c r="B2" i="1"/>
  <c r="B3" i="1"/>
  <c r="C3" i="1" s="1"/>
  <c r="B4" i="1"/>
  <c r="C4" i="1" s="1"/>
  <c r="B5" i="1"/>
  <c r="B6" i="1"/>
  <c r="B7" i="1"/>
  <c r="C7" i="1" s="1"/>
  <c r="B8" i="1"/>
  <c r="C8" i="1" s="1"/>
  <c r="B9" i="1"/>
  <c r="B10" i="1"/>
  <c r="B11" i="1"/>
  <c r="C11" i="1" s="1"/>
  <c r="B12" i="1"/>
  <c r="C12" i="1" s="1"/>
  <c r="B13" i="1"/>
  <c r="B14" i="1"/>
  <c r="B15" i="1"/>
  <c r="C15" i="1" s="1"/>
  <c r="B16" i="1"/>
  <c r="C16" i="1" s="1"/>
  <c r="B17" i="1"/>
  <c r="B18" i="1"/>
  <c r="B19" i="1"/>
  <c r="C19" i="1" s="1"/>
  <c r="B20" i="1"/>
  <c r="C20" i="1" s="1"/>
  <c r="B21" i="1"/>
  <c r="B22" i="1"/>
  <c r="B23" i="1"/>
  <c r="C23" i="1" s="1"/>
  <c r="B24" i="1"/>
  <c r="C24" i="1" s="1"/>
  <c r="B25" i="1"/>
  <c r="B26" i="1"/>
  <c r="B1" i="1"/>
  <c r="C1" i="1" s="1"/>
  <c r="D1" i="6" l="1"/>
  <c r="D1" i="1"/>
  <c r="D1" i="3"/>
  <c r="D1" i="5"/>
  <c r="D1" i="2"/>
  <c r="D1" i="4"/>
</calcChain>
</file>

<file path=xl/sharedStrings.xml><?xml version="1.0" encoding="utf-8"?>
<sst xmlns="http://schemas.openxmlformats.org/spreadsheetml/2006/main" count="275" uniqueCount="72">
  <si>
    <t>ID</t>
  </si>
  <si>
    <t>Designer</t>
  </si>
  <si>
    <t>Team Leader</t>
  </si>
  <si>
    <t>Department</t>
  </si>
  <si>
    <t>Offer Name</t>
  </si>
  <si>
    <t>Offer Number</t>
  </si>
  <si>
    <t>TCO</t>
  </si>
  <si>
    <t>Segment</t>
  </si>
  <si>
    <t>Items Numbers</t>
  </si>
  <si>
    <t>Total Items</t>
  </si>
  <si>
    <t>Total Cells</t>
  </si>
  <si>
    <t>Patch Name</t>
  </si>
  <si>
    <t>Common Complexity</t>
  </si>
  <si>
    <t>Receive Date</t>
  </si>
  <si>
    <t>SLD Modification</t>
  </si>
  <si>
    <t>Due Date SLD</t>
  </si>
  <si>
    <t>Due Date CLO SLD</t>
  </si>
  <si>
    <t>SLD Modification Complexity</t>
  </si>
  <si>
    <t>SLD Modification Impacted Cells</t>
  </si>
  <si>
    <t>SLD Drawing Comment</t>
  </si>
  <si>
    <t>Schematics Modification</t>
  </si>
  <si>
    <t>Due Date Schematics</t>
  </si>
  <si>
    <t>Due Date CLO Schematics</t>
  </si>
  <si>
    <t>Schematics Modification Complexity</t>
  </si>
  <si>
    <t>Schematics Modification Impacted Cells</t>
  </si>
  <si>
    <t>Schematics Drawing Comment</t>
  </si>
  <si>
    <t>Item Number</t>
  </si>
  <si>
    <t>Family</t>
  </si>
  <si>
    <t>Complexity</t>
  </si>
  <si>
    <t>Actual Date SLD</t>
  </si>
  <si>
    <t>Actual Hours SLD</t>
  </si>
  <si>
    <t>Standard Hours SLD</t>
  </si>
  <si>
    <t>Actual Date Schematics</t>
  </si>
  <si>
    <t>Actual Hours Schematics</t>
  </si>
  <si>
    <t>Standard Hours Schematics</t>
  </si>
  <si>
    <t>Index</t>
  </si>
  <si>
    <t>Order Name</t>
  </si>
  <si>
    <t>Project Number</t>
  </si>
  <si>
    <t>TCR</t>
  </si>
  <si>
    <t>Is PreBOM</t>
  </si>
  <si>
    <t>Was Offer</t>
  </si>
  <si>
    <t>Previous Offer Name</t>
  </si>
  <si>
    <t>Previous Offer Number</t>
  </si>
  <si>
    <t>Item Status</t>
  </si>
  <si>
    <t>Approval Date</t>
  </si>
  <si>
    <t>ABOM Due Date</t>
  </si>
  <si>
    <t>ABOM CLO Date</t>
  </si>
  <si>
    <t>ABOM Comment</t>
  </si>
  <si>
    <t>BBOM Due Date</t>
  </si>
  <si>
    <t>BBOM CLO Date</t>
  </si>
  <si>
    <t>BBOM Comment</t>
  </si>
  <si>
    <t>NSR Due Date</t>
  </si>
  <si>
    <t>NSR CLO Date</t>
  </si>
  <si>
    <t>NSR Comment</t>
  </si>
  <si>
    <t>PF Due Date</t>
  </si>
  <si>
    <t>PF CLO Date</t>
  </si>
  <si>
    <t>PF Comment</t>
  </si>
  <si>
    <t>Has NSR</t>
  </si>
  <si>
    <t>WBS</t>
  </si>
  <si>
    <t>Celling Hours</t>
  </si>
  <si>
    <t>Actual Date ABOM</t>
  </si>
  <si>
    <t>Actual Hours ABOM</t>
  </si>
  <si>
    <t>Standard Hours ABOM</t>
  </si>
  <si>
    <t>Actual Date BBOM</t>
  </si>
  <si>
    <t>Actual Hours BBOM</t>
  </si>
  <si>
    <t>Standard Hours BBOM</t>
  </si>
  <si>
    <t>Actual Date NSR</t>
  </si>
  <si>
    <t>Actual Hours NSR</t>
  </si>
  <si>
    <t>Standard Hours NSR</t>
  </si>
  <si>
    <t>Actual Date PF</t>
  </si>
  <si>
    <t>Actual Hours PF</t>
  </si>
  <si>
    <t>Standard Hours PF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</si>
</sst>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000000"/>
      <name val="Calibri"/>
      <family val="2"/>
    </font>
  </fonts>
  <fills count="5">
    <fill>
      <patternFill patternType="none"/>
    </fill>
    <fill>
      <patternFill patternType="gray125"/>
    </fill>
    <fill>
      <patternFill patternType="solid">
        <fgColor rgb="FFC0C0C0"/>
        <bgColor rgb="FFC0C0C0"/>
      </patternFill>
    </fill>
    <fill>
      <patternFill patternType="solid">
        <fgColor rgb="FFFFFF00"/>
        <bgColor rgb="FFC0C0C0"/>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xf>
    <xf numFmtId="0" fontId="0" fillId="0" borderId="0" xfId="0" applyAlignment="1">
      <alignment wrapText="1"/>
    </xf>
    <xf numFmtId="0" fontId="1" fillId="3" borderId="1" xfId="0" applyFont="1" applyFill="1" applyBorder="1" applyAlignment="1" applyProtection="1">
      <alignment horizontal="center" vertical="center"/>
    </xf>
    <xf numFmtId="0" fontId="0" fillId="4" borderId="0" xfId="0" applyFill="1"/>
    <xf numFmtId="0" fontId="0" fillId="0" borderId="0" xfId="0" applyFill="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workbookViewId="0">
      <selection activeCell="C9" sqref="C9"/>
    </sheetView>
  </sheetViews>
  <sheetFormatPr defaultRowHeight="15" x14ac:dyDescent="0.25"/>
  <cols>
    <col min="1" max="1" width="37" bestFit="1" customWidth="1"/>
    <col min="3" max="3" width="39.28515625" bestFit="1" customWidth="1"/>
  </cols>
  <sheetData>
    <row r="1" spans="1:4" x14ac:dyDescent="0.25">
      <c r="A1" s="1" t="s">
        <v>0</v>
      </c>
      <c r="B1" t="str">
        <f>""""&amp;A1&amp;""""</f>
        <v>"ID"</v>
      </c>
      <c r="C1" s="2" t="str">
        <f>B1&amp;","</f>
        <v>"ID",</v>
      </c>
      <c r="D1" t="str">
        <f>_xlfn.CONCAT(C1:C26)</f>
        <v>"ID","Designer","Team Leader","Department","Offer Name","Offer Number","TCO","Segment","Items Numbers","Total Items","Total Cells","Patch Name","Common Complexity","Receive Date","SLD Modification","Due Date SLD","Due Date CLO SLD","SLD Modification Complexity","SLD Modification Impacted Cells","SLD Drawing Comment","Schematics Modification","Due Date Schematics","Due Date CLO Schematics","Schematics Modification Complexity","Schematics Modification Impacted Cells","Schematics Drawing Comment",</v>
      </c>
    </row>
    <row r="2" spans="1:4" x14ac:dyDescent="0.25">
      <c r="A2" s="1" t="s">
        <v>1</v>
      </c>
      <c r="B2" t="str">
        <f t="shared" ref="B2:B26" si="0">""""&amp;A2&amp;""""</f>
        <v>"Designer"</v>
      </c>
      <c r="C2" s="2" t="str">
        <f t="shared" ref="C2:C26" si="1">B2&amp;","</f>
        <v>"Designer",</v>
      </c>
    </row>
    <row r="3" spans="1:4" x14ac:dyDescent="0.25">
      <c r="A3" s="1" t="s">
        <v>2</v>
      </c>
      <c r="B3" t="str">
        <f t="shared" si="0"/>
        <v>"Team Leader"</v>
      </c>
      <c r="C3" s="2" t="str">
        <f t="shared" si="1"/>
        <v>"Team Leader",</v>
      </c>
    </row>
    <row r="4" spans="1:4" x14ac:dyDescent="0.25">
      <c r="A4" s="1" t="s">
        <v>3</v>
      </c>
      <c r="B4" t="str">
        <f t="shared" si="0"/>
        <v>"Department"</v>
      </c>
      <c r="C4" s="2" t="str">
        <f t="shared" si="1"/>
        <v>"Department",</v>
      </c>
    </row>
    <row r="5" spans="1:4" x14ac:dyDescent="0.25">
      <c r="A5" s="1" t="s">
        <v>4</v>
      </c>
      <c r="B5" t="str">
        <f t="shared" si="0"/>
        <v>"Offer Name"</v>
      </c>
      <c r="C5" s="2" t="str">
        <f t="shared" si="1"/>
        <v>"Offer Name",</v>
      </c>
    </row>
    <row r="6" spans="1:4" x14ac:dyDescent="0.25">
      <c r="A6" s="1" t="s">
        <v>5</v>
      </c>
      <c r="B6" t="str">
        <f t="shared" si="0"/>
        <v>"Offer Number"</v>
      </c>
      <c r="C6" s="2" t="str">
        <f t="shared" si="1"/>
        <v>"Offer Number",</v>
      </c>
    </row>
    <row r="7" spans="1:4" x14ac:dyDescent="0.25">
      <c r="A7" s="1" t="s">
        <v>6</v>
      </c>
      <c r="B7" t="str">
        <f t="shared" si="0"/>
        <v>"TCO"</v>
      </c>
      <c r="C7" s="2" t="str">
        <f t="shared" si="1"/>
        <v>"TCO",</v>
      </c>
    </row>
    <row r="8" spans="1:4" x14ac:dyDescent="0.25">
      <c r="A8" s="1" t="s">
        <v>7</v>
      </c>
      <c r="B8" t="str">
        <f t="shared" si="0"/>
        <v>"Segment"</v>
      </c>
      <c r="C8" s="2" t="str">
        <f t="shared" si="1"/>
        <v>"Segment",</v>
      </c>
    </row>
    <row r="9" spans="1:4" x14ac:dyDescent="0.25">
      <c r="A9" s="1" t="s">
        <v>8</v>
      </c>
      <c r="B9" t="str">
        <f t="shared" si="0"/>
        <v>"Items Numbers"</v>
      </c>
      <c r="C9" s="2" t="str">
        <f t="shared" si="1"/>
        <v>"Items Numbers",</v>
      </c>
    </row>
    <row r="10" spans="1:4" x14ac:dyDescent="0.25">
      <c r="A10" s="1" t="s">
        <v>9</v>
      </c>
      <c r="B10" t="str">
        <f t="shared" si="0"/>
        <v>"Total Items"</v>
      </c>
      <c r="C10" s="2" t="str">
        <f t="shared" si="1"/>
        <v>"Total Items",</v>
      </c>
    </row>
    <row r="11" spans="1:4" x14ac:dyDescent="0.25">
      <c r="A11" s="1" t="s">
        <v>10</v>
      </c>
      <c r="B11" t="str">
        <f t="shared" si="0"/>
        <v>"Total Cells"</v>
      </c>
      <c r="C11" s="2" t="str">
        <f t="shared" si="1"/>
        <v>"Total Cells",</v>
      </c>
    </row>
    <row r="12" spans="1:4" x14ac:dyDescent="0.25">
      <c r="A12" s="1" t="s">
        <v>11</v>
      </c>
      <c r="B12" t="str">
        <f t="shared" si="0"/>
        <v>"Patch Name"</v>
      </c>
      <c r="C12" s="2" t="str">
        <f t="shared" si="1"/>
        <v>"Patch Name",</v>
      </c>
    </row>
    <row r="13" spans="1:4" x14ac:dyDescent="0.25">
      <c r="A13" s="1" t="s">
        <v>12</v>
      </c>
      <c r="B13" t="str">
        <f t="shared" si="0"/>
        <v>"Common Complexity"</v>
      </c>
      <c r="C13" s="2" t="str">
        <f t="shared" si="1"/>
        <v>"Common Complexity",</v>
      </c>
    </row>
    <row r="14" spans="1:4" x14ac:dyDescent="0.25">
      <c r="A14" s="1" t="s">
        <v>13</v>
      </c>
      <c r="B14" t="str">
        <f t="shared" si="0"/>
        <v>"Receive Date"</v>
      </c>
      <c r="C14" s="2" t="str">
        <f t="shared" si="1"/>
        <v>"Receive Date",</v>
      </c>
    </row>
    <row r="15" spans="1:4" x14ac:dyDescent="0.25">
      <c r="A15" s="1" t="s">
        <v>14</v>
      </c>
      <c r="B15" t="str">
        <f t="shared" si="0"/>
        <v>"SLD Modification"</v>
      </c>
      <c r="C15" s="2" t="str">
        <f t="shared" si="1"/>
        <v>"SLD Modification",</v>
      </c>
    </row>
    <row r="16" spans="1:4" x14ac:dyDescent="0.25">
      <c r="A16" s="1" t="s">
        <v>15</v>
      </c>
      <c r="B16" t="str">
        <f t="shared" si="0"/>
        <v>"Due Date SLD"</v>
      </c>
      <c r="C16" s="2" t="str">
        <f t="shared" si="1"/>
        <v>"Due Date SLD",</v>
      </c>
    </row>
    <row r="17" spans="1:3" x14ac:dyDescent="0.25">
      <c r="A17" s="1" t="s">
        <v>16</v>
      </c>
      <c r="B17" t="str">
        <f t="shared" si="0"/>
        <v>"Due Date CLO SLD"</v>
      </c>
      <c r="C17" s="2" t="str">
        <f t="shared" si="1"/>
        <v>"Due Date CLO SLD",</v>
      </c>
    </row>
    <row r="18" spans="1:3" x14ac:dyDescent="0.25">
      <c r="A18" s="1" t="s">
        <v>17</v>
      </c>
      <c r="B18" t="str">
        <f t="shared" si="0"/>
        <v>"SLD Modification Complexity"</v>
      </c>
      <c r="C18" s="2" t="str">
        <f t="shared" si="1"/>
        <v>"SLD Modification Complexity",</v>
      </c>
    </row>
    <row r="19" spans="1:3" x14ac:dyDescent="0.25">
      <c r="A19" s="1" t="s">
        <v>18</v>
      </c>
      <c r="B19" t="str">
        <f t="shared" si="0"/>
        <v>"SLD Modification Impacted Cells"</v>
      </c>
      <c r="C19" s="2" t="str">
        <f t="shared" si="1"/>
        <v>"SLD Modification Impacted Cells",</v>
      </c>
    </row>
    <row r="20" spans="1:3" x14ac:dyDescent="0.25">
      <c r="A20" s="1" t="s">
        <v>19</v>
      </c>
      <c r="B20" t="str">
        <f t="shared" si="0"/>
        <v>"SLD Drawing Comment"</v>
      </c>
      <c r="C20" s="2" t="str">
        <f t="shared" si="1"/>
        <v>"SLD Drawing Comment",</v>
      </c>
    </row>
    <row r="21" spans="1:3" x14ac:dyDescent="0.25">
      <c r="A21" s="1" t="s">
        <v>20</v>
      </c>
      <c r="B21" t="str">
        <f t="shared" si="0"/>
        <v>"Schematics Modification"</v>
      </c>
      <c r="C21" s="2" t="str">
        <f t="shared" si="1"/>
        <v>"Schematics Modification",</v>
      </c>
    </row>
    <row r="22" spans="1:3" x14ac:dyDescent="0.25">
      <c r="A22" s="1" t="s">
        <v>21</v>
      </c>
      <c r="B22" t="str">
        <f t="shared" si="0"/>
        <v>"Due Date Schematics"</v>
      </c>
      <c r="C22" s="2" t="str">
        <f t="shared" si="1"/>
        <v>"Due Date Schematics",</v>
      </c>
    </row>
    <row r="23" spans="1:3" x14ac:dyDescent="0.25">
      <c r="A23" s="1" t="s">
        <v>22</v>
      </c>
      <c r="B23" t="str">
        <f t="shared" si="0"/>
        <v>"Due Date CLO Schematics"</v>
      </c>
      <c r="C23" s="2" t="str">
        <f t="shared" si="1"/>
        <v>"Due Date CLO Schematics",</v>
      </c>
    </row>
    <row r="24" spans="1:3" x14ac:dyDescent="0.25">
      <c r="A24" s="1" t="s">
        <v>23</v>
      </c>
      <c r="B24" t="str">
        <f t="shared" si="0"/>
        <v>"Schematics Modification Complexity"</v>
      </c>
      <c r="C24" s="2" t="str">
        <f t="shared" si="1"/>
        <v>"Schematics Modification Complexity",</v>
      </c>
    </row>
    <row r="25" spans="1:3" x14ac:dyDescent="0.25">
      <c r="A25" s="1" t="s">
        <v>24</v>
      </c>
      <c r="B25" t="str">
        <f t="shared" si="0"/>
        <v>"Schematics Modification Impacted Cells"</v>
      </c>
      <c r="C25" s="2" t="str">
        <f t="shared" si="1"/>
        <v>"Schematics Modification Impacted Cells",</v>
      </c>
    </row>
    <row r="26" spans="1:3" x14ac:dyDescent="0.25">
      <c r="A26" s="1" t="s">
        <v>25</v>
      </c>
      <c r="B26" t="str">
        <f t="shared" si="0"/>
        <v>"Schematics Drawing Comment"</v>
      </c>
      <c r="C26" s="2" t="str">
        <f t="shared" si="1"/>
        <v>"Schematics Drawing Comment",</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workbookViewId="0">
      <selection activeCell="A25" sqref="A25"/>
    </sheetView>
  </sheetViews>
  <sheetFormatPr defaultRowHeight="15" x14ac:dyDescent="0.25"/>
  <cols>
    <col min="1" max="1" width="37" bestFit="1" customWidth="1"/>
    <col min="2" max="2" width="38.7109375" style="5" bestFit="1" customWidth="1"/>
    <col min="3" max="3" width="39.28515625" bestFit="1" customWidth="1"/>
  </cols>
  <sheetData>
    <row r="1" spans="1:4" x14ac:dyDescent="0.25">
      <c r="A1" s="1" t="s">
        <v>0</v>
      </c>
      <c r="B1" s="5" t="str">
        <f>""""&amp;A1&amp;""""</f>
        <v>"ID"</v>
      </c>
      <c r="C1" s="2" t="str">
        <f>B1&amp;","</f>
        <v>"ID",</v>
      </c>
      <c r="D1" t="str">
        <f>_xlfn.CONCAT(C1:C33)</f>
        <v>"ID","Designer","Team Leader","Department","Offer Name","Offer Number","TCO","Segment","Item Number","Total Cells","Family","Complexity","Patch Name","Receive Date","SLD Modification","Due Date SLD","Due Date CLO SLD","Actual Date SLD","Actual Hours SLD","Standard Hours SLD","SLD Modification Complexity","SLD Modification Impacted Cells","SLD Drawing Comment","Schematics Modification","Due Date Schematics","Due Date CLO Schematics","Actual Date Schematics","Actual Hours Schematics","Standard Hours Schematics","Schematics Modification Complexity","Schematics Modification Impacted Cells","Schematics Drawing Comment","Index",</v>
      </c>
    </row>
    <row r="2" spans="1:4" x14ac:dyDescent="0.25">
      <c r="A2" s="1" t="s">
        <v>1</v>
      </c>
      <c r="B2" s="5" t="str">
        <f t="shared" ref="B2:B33" si="0">""""&amp;A2&amp;""""</f>
        <v>"Designer"</v>
      </c>
      <c r="C2" s="2" t="str">
        <f t="shared" ref="C2:C33" si="1">B2&amp;","</f>
        <v>"Designer",</v>
      </c>
    </row>
    <row r="3" spans="1:4" x14ac:dyDescent="0.25">
      <c r="A3" s="1" t="s">
        <v>2</v>
      </c>
      <c r="B3" s="5" t="str">
        <f t="shared" si="0"/>
        <v>"Team Leader"</v>
      </c>
      <c r="C3" s="2" t="str">
        <f t="shared" si="1"/>
        <v>"Team Leader",</v>
      </c>
    </row>
    <row r="4" spans="1:4" x14ac:dyDescent="0.25">
      <c r="A4" s="1" t="s">
        <v>3</v>
      </c>
      <c r="B4" s="5" t="str">
        <f t="shared" si="0"/>
        <v>"Department"</v>
      </c>
      <c r="C4" s="2" t="str">
        <f t="shared" si="1"/>
        <v>"Department",</v>
      </c>
    </row>
    <row r="5" spans="1:4" x14ac:dyDescent="0.25">
      <c r="A5" s="1" t="s">
        <v>4</v>
      </c>
      <c r="B5" s="5" t="str">
        <f t="shared" si="0"/>
        <v>"Offer Name"</v>
      </c>
      <c r="C5" s="2" t="str">
        <f t="shared" si="1"/>
        <v>"Offer Name",</v>
      </c>
    </row>
    <row r="6" spans="1:4" x14ac:dyDescent="0.25">
      <c r="A6" s="1" t="s">
        <v>5</v>
      </c>
      <c r="B6" s="5" t="str">
        <f t="shared" si="0"/>
        <v>"Offer Number"</v>
      </c>
      <c r="C6" s="2" t="str">
        <f t="shared" si="1"/>
        <v>"Offer Number",</v>
      </c>
    </row>
    <row r="7" spans="1:4" x14ac:dyDescent="0.25">
      <c r="A7" s="1" t="s">
        <v>6</v>
      </c>
      <c r="B7" s="5" t="str">
        <f t="shared" si="0"/>
        <v>"TCO"</v>
      </c>
      <c r="C7" s="2" t="str">
        <f t="shared" si="1"/>
        <v>"TCO",</v>
      </c>
    </row>
    <row r="8" spans="1:4" x14ac:dyDescent="0.25">
      <c r="A8" s="1" t="s">
        <v>7</v>
      </c>
      <c r="B8" s="5" t="str">
        <f t="shared" si="0"/>
        <v>"Segment"</v>
      </c>
      <c r="C8" s="2" t="str">
        <f t="shared" si="1"/>
        <v>"Segment",</v>
      </c>
    </row>
    <row r="9" spans="1:4" x14ac:dyDescent="0.25">
      <c r="A9" s="1" t="s">
        <v>26</v>
      </c>
      <c r="B9" s="5" t="str">
        <f t="shared" si="0"/>
        <v>"Item Number"</v>
      </c>
      <c r="C9" s="2" t="str">
        <f t="shared" si="1"/>
        <v>"Item Number",</v>
      </c>
    </row>
    <row r="10" spans="1:4" x14ac:dyDescent="0.25">
      <c r="A10" s="1" t="s">
        <v>10</v>
      </c>
      <c r="B10" s="5" t="str">
        <f t="shared" si="0"/>
        <v>"Total Cells"</v>
      </c>
      <c r="C10" s="2" t="str">
        <f t="shared" si="1"/>
        <v>"Total Cells",</v>
      </c>
    </row>
    <row r="11" spans="1:4" x14ac:dyDescent="0.25">
      <c r="A11" s="1" t="s">
        <v>27</v>
      </c>
      <c r="B11" s="5" t="str">
        <f t="shared" si="0"/>
        <v>"Family"</v>
      </c>
      <c r="C11" s="2" t="str">
        <f t="shared" si="1"/>
        <v>"Family",</v>
      </c>
    </row>
    <row r="12" spans="1:4" x14ac:dyDescent="0.25">
      <c r="A12" s="1" t="s">
        <v>28</v>
      </c>
      <c r="B12" s="5" t="str">
        <f t="shared" si="0"/>
        <v>"Complexity"</v>
      </c>
      <c r="C12" s="2" t="str">
        <f t="shared" si="1"/>
        <v>"Complexity",</v>
      </c>
    </row>
    <row r="13" spans="1:4" x14ac:dyDescent="0.25">
      <c r="A13" s="1" t="s">
        <v>11</v>
      </c>
      <c r="B13" s="5" t="str">
        <f t="shared" si="0"/>
        <v>"Patch Name"</v>
      </c>
      <c r="C13" s="2" t="str">
        <f t="shared" si="1"/>
        <v>"Patch Name",</v>
      </c>
    </row>
    <row r="14" spans="1:4" x14ac:dyDescent="0.25">
      <c r="A14" s="1" t="s">
        <v>13</v>
      </c>
      <c r="B14" s="5" t="str">
        <f t="shared" si="0"/>
        <v>"Receive Date"</v>
      </c>
      <c r="C14" s="2" t="str">
        <f t="shared" si="1"/>
        <v>"Receive Date",</v>
      </c>
    </row>
    <row r="15" spans="1:4" x14ac:dyDescent="0.25">
      <c r="A15" s="1" t="s">
        <v>14</v>
      </c>
      <c r="B15" s="5" t="str">
        <f t="shared" si="0"/>
        <v>"SLD Modification"</v>
      </c>
      <c r="C15" s="2" t="str">
        <f t="shared" si="1"/>
        <v>"SLD Modification",</v>
      </c>
    </row>
    <row r="16" spans="1:4" x14ac:dyDescent="0.25">
      <c r="A16" s="1" t="s">
        <v>15</v>
      </c>
      <c r="B16" s="5" t="str">
        <f t="shared" si="0"/>
        <v>"Due Date SLD"</v>
      </c>
      <c r="C16" s="2" t="str">
        <f t="shared" si="1"/>
        <v>"Due Date SLD",</v>
      </c>
    </row>
    <row r="17" spans="1:3" x14ac:dyDescent="0.25">
      <c r="A17" s="1" t="s">
        <v>16</v>
      </c>
      <c r="B17" s="5" t="str">
        <f t="shared" si="0"/>
        <v>"Due Date CLO SLD"</v>
      </c>
      <c r="C17" s="2" t="str">
        <f t="shared" si="1"/>
        <v>"Due Date CLO SLD",</v>
      </c>
    </row>
    <row r="18" spans="1:3" x14ac:dyDescent="0.25">
      <c r="A18" s="1" t="s">
        <v>29</v>
      </c>
      <c r="B18" s="5" t="str">
        <f t="shared" si="0"/>
        <v>"Actual Date SLD"</v>
      </c>
      <c r="C18" s="2" t="str">
        <f t="shared" si="1"/>
        <v>"Actual Date SLD",</v>
      </c>
    </row>
    <row r="19" spans="1:3" x14ac:dyDescent="0.25">
      <c r="A19" s="1" t="s">
        <v>30</v>
      </c>
      <c r="B19" s="5" t="str">
        <f t="shared" si="0"/>
        <v>"Actual Hours SLD"</v>
      </c>
      <c r="C19" s="2" t="str">
        <f t="shared" si="1"/>
        <v>"Actual Hours SLD",</v>
      </c>
    </row>
    <row r="20" spans="1:3" x14ac:dyDescent="0.25">
      <c r="A20" s="1" t="s">
        <v>31</v>
      </c>
      <c r="B20" s="5" t="str">
        <f t="shared" si="0"/>
        <v>"Standard Hours SLD"</v>
      </c>
      <c r="C20" s="2" t="str">
        <f t="shared" si="1"/>
        <v>"Standard Hours SLD",</v>
      </c>
    </row>
    <row r="21" spans="1:3" x14ac:dyDescent="0.25">
      <c r="A21" s="1" t="s">
        <v>17</v>
      </c>
      <c r="B21" s="5" t="str">
        <f t="shared" si="0"/>
        <v>"SLD Modification Complexity"</v>
      </c>
      <c r="C21" s="2" t="str">
        <f t="shared" si="1"/>
        <v>"SLD Modification Complexity",</v>
      </c>
    </row>
    <row r="22" spans="1:3" x14ac:dyDescent="0.25">
      <c r="A22" s="1" t="s">
        <v>18</v>
      </c>
      <c r="B22" s="5" t="str">
        <f t="shared" si="0"/>
        <v>"SLD Modification Impacted Cells"</v>
      </c>
      <c r="C22" s="2" t="str">
        <f t="shared" si="1"/>
        <v>"SLD Modification Impacted Cells",</v>
      </c>
    </row>
    <row r="23" spans="1:3" x14ac:dyDescent="0.25">
      <c r="A23" s="1" t="s">
        <v>19</v>
      </c>
      <c r="B23" s="5" t="str">
        <f t="shared" si="0"/>
        <v>"SLD Drawing Comment"</v>
      </c>
      <c r="C23" s="2" t="str">
        <f t="shared" si="1"/>
        <v>"SLD Drawing Comment",</v>
      </c>
    </row>
    <row r="24" spans="1:3" x14ac:dyDescent="0.25">
      <c r="A24" s="1" t="s">
        <v>20</v>
      </c>
      <c r="B24" s="4" t="str">
        <f t="shared" si="0"/>
        <v>"Schematics Modification"</v>
      </c>
      <c r="C24" s="2" t="str">
        <f t="shared" si="1"/>
        <v>"Schematics Modification",</v>
      </c>
    </row>
    <row r="25" spans="1:3" x14ac:dyDescent="0.25">
      <c r="A25" s="1" t="s">
        <v>21</v>
      </c>
      <c r="B25" s="4" t="str">
        <f t="shared" si="0"/>
        <v>"Due Date Schematics"</v>
      </c>
      <c r="C25" s="2" t="str">
        <f t="shared" si="1"/>
        <v>"Due Date Schematics",</v>
      </c>
    </row>
    <row r="26" spans="1:3" x14ac:dyDescent="0.25">
      <c r="A26" s="1" t="s">
        <v>22</v>
      </c>
      <c r="B26" s="5" t="str">
        <f t="shared" si="0"/>
        <v>"Due Date CLO Schematics"</v>
      </c>
      <c r="C26" s="2" t="str">
        <f t="shared" si="1"/>
        <v>"Due Date CLO Schematics",</v>
      </c>
    </row>
    <row r="27" spans="1:3" x14ac:dyDescent="0.25">
      <c r="A27" s="1" t="s">
        <v>32</v>
      </c>
      <c r="B27" s="5" t="str">
        <f t="shared" si="0"/>
        <v>"Actual Date Schematics"</v>
      </c>
      <c r="C27" s="2" t="str">
        <f t="shared" si="1"/>
        <v>"Actual Date Schematics",</v>
      </c>
    </row>
    <row r="28" spans="1:3" x14ac:dyDescent="0.25">
      <c r="A28" s="1" t="s">
        <v>33</v>
      </c>
      <c r="B28" s="5" t="str">
        <f t="shared" si="0"/>
        <v>"Actual Hours Schematics"</v>
      </c>
      <c r="C28" s="2" t="str">
        <f t="shared" si="1"/>
        <v>"Actual Hours Schematics",</v>
      </c>
    </row>
    <row r="29" spans="1:3" x14ac:dyDescent="0.25">
      <c r="A29" s="1" t="s">
        <v>34</v>
      </c>
      <c r="B29" s="5" t="str">
        <f t="shared" si="0"/>
        <v>"Standard Hours Schematics"</v>
      </c>
      <c r="C29" s="2" t="str">
        <f t="shared" si="1"/>
        <v>"Standard Hours Schematics",</v>
      </c>
    </row>
    <row r="30" spans="1:3" x14ac:dyDescent="0.25">
      <c r="A30" s="1" t="s">
        <v>23</v>
      </c>
      <c r="B30" s="5" t="str">
        <f t="shared" si="0"/>
        <v>"Schematics Modification Complexity"</v>
      </c>
      <c r="C30" s="2" t="str">
        <f t="shared" si="1"/>
        <v>"Schematics Modification Complexity",</v>
      </c>
    </row>
    <row r="31" spans="1:3" x14ac:dyDescent="0.25">
      <c r="A31" s="1" t="s">
        <v>24</v>
      </c>
      <c r="B31" s="5" t="str">
        <f t="shared" si="0"/>
        <v>"Schematics Modification Impacted Cells"</v>
      </c>
      <c r="C31" s="2" t="str">
        <f t="shared" si="1"/>
        <v>"Schematics Modification Impacted Cells",</v>
      </c>
    </row>
    <row r="32" spans="1:3" x14ac:dyDescent="0.25">
      <c r="A32" s="1" t="s">
        <v>25</v>
      </c>
      <c r="B32" s="5" t="str">
        <f t="shared" si="0"/>
        <v>"Schematics Drawing Comment"</v>
      </c>
      <c r="C32" s="2" t="str">
        <f t="shared" si="1"/>
        <v>"Schematics Drawing Comment",</v>
      </c>
    </row>
    <row r="33" spans="1:3" x14ac:dyDescent="0.25">
      <c r="A33" s="1" t="s">
        <v>35</v>
      </c>
      <c r="B33" s="5" t="str">
        <f t="shared" si="0"/>
        <v>"Index"</v>
      </c>
      <c r="C33" s="2" t="str">
        <f t="shared" si="1"/>
        <v>"Index",</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selection sqref="A1:A44"/>
    </sheetView>
  </sheetViews>
  <sheetFormatPr defaultRowHeight="15" x14ac:dyDescent="0.25"/>
  <cols>
    <col min="1" max="1" width="37" bestFit="1" customWidth="1"/>
    <col min="3" max="3" width="39.28515625" bestFit="1" customWidth="1"/>
  </cols>
  <sheetData>
    <row r="1" spans="1:4" x14ac:dyDescent="0.25">
      <c r="A1" s="1" t="s">
        <v>0</v>
      </c>
      <c r="B1" t="str">
        <f>""""&amp;A1&amp;""""</f>
        <v>"ID"</v>
      </c>
      <c r="C1" s="2" t="str">
        <f>B1&amp;","</f>
        <v>"ID",</v>
      </c>
      <c r="D1" t="str">
        <f>_xlfn.CONCAT(C1:C44)</f>
        <v>"ID","Designer","Team Leader","Department","Order Name","Project Number","TCR","Is PreBOM","Was Offer","Previous Offer Name","Previous Offer Number","Segment","Items Numbers","Total Items","Total Cells","Patch Name","Item Status","Approval Date","Common Complexity","Receive Date","SLD Modification","Due Date SLD","Due Date CLO SLD","SLD Modification Complexity","SLD Modification Impacted Cells","SLD Drawing Comment","Schematics Modification","Due Date Schematics","Due Date CLO Schematics","Schematics Modification Complexity","Schematics Modification Impacted Cells","Schematics Drawing Comment","ABOM Due Date","ABOM CLO Date","ABOM Comment","BBOM Due Date","BBOM CLO Date","BBOM Comment","NSR Due Date","NSR CLO Date","NSR Comment","PF Due Date","PF CLO Date","PF Comment",</v>
      </c>
    </row>
    <row r="2" spans="1:4" x14ac:dyDescent="0.25">
      <c r="A2" s="1" t="s">
        <v>1</v>
      </c>
      <c r="B2" t="str">
        <f t="shared" ref="B2:B44" si="0">""""&amp;A2&amp;""""</f>
        <v>"Designer"</v>
      </c>
      <c r="C2" s="2" t="str">
        <f t="shared" ref="C2:C44" si="1">B2&amp;","</f>
        <v>"Designer",</v>
      </c>
    </row>
    <row r="3" spans="1:4" x14ac:dyDescent="0.25">
      <c r="A3" s="1" t="s">
        <v>2</v>
      </c>
      <c r="B3" t="str">
        <f t="shared" si="0"/>
        <v>"Team Leader"</v>
      </c>
      <c r="C3" s="2" t="str">
        <f t="shared" si="1"/>
        <v>"Team Leader",</v>
      </c>
    </row>
    <row r="4" spans="1:4" x14ac:dyDescent="0.25">
      <c r="A4" s="1" t="s">
        <v>3</v>
      </c>
      <c r="B4" t="str">
        <f t="shared" si="0"/>
        <v>"Department"</v>
      </c>
      <c r="C4" s="2" t="str">
        <f t="shared" si="1"/>
        <v>"Department",</v>
      </c>
    </row>
    <row r="5" spans="1:4" x14ac:dyDescent="0.25">
      <c r="A5" s="1" t="s">
        <v>36</v>
      </c>
      <c r="B5" t="str">
        <f t="shared" si="0"/>
        <v>"Order Name"</v>
      </c>
      <c r="C5" s="2" t="str">
        <f t="shared" si="1"/>
        <v>"Order Name",</v>
      </c>
    </row>
    <row r="6" spans="1:4" x14ac:dyDescent="0.25">
      <c r="A6" s="1" t="s">
        <v>37</v>
      </c>
      <c r="B6" t="str">
        <f t="shared" si="0"/>
        <v>"Project Number"</v>
      </c>
      <c r="C6" s="2" t="str">
        <f t="shared" si="1"/>
        <v>"Project Number",</v>
      </c>
    </row>
    <row r="7" spans="1:4" x14ac:dyDescent="0.25">
      <c r="A7" s="1" t="s">
        <v>38</v>
      </c>
      <c r="B7" t="str">
        <f t="shared" si="0"/>
        <v>"TCR"</v>
      </c>
      <c r="C7" s="2" t="str">
        <f t="shared" si="1"/>
        <v>"TCR",</v>
      </c>
    </row>
    <row r="8" spans="1:4" x14ac:dyDescent="0.25">
      <c r="A8" s="1" t="s">
        <v>39</v>
      </c>
      <c r="B8" t="str">
        <f t="shared" si="0"/>
        <v>"Is PreBOM"</v>
      </c>
      <c r="C8" s="2" t="str">
        <f t="shared" si="1"/>
        <v>"Is PreBOM",</v>
      </c>
    </row>
    <row r="9" spans="1:4" x14ac:dyDescent="0.25">
      <c r="A9" s="1" t="s">
        <v>40</v>
      </c>
      <c r="B9" t="str">
        <f t="shared" si="0"/>
        <v>"Was Offer"</v>
      </c>
      <c r="C9" s="2" t="str">
        <f t="shared" si="1"/>
        <v>"Was Offer",</v>
      </c>
    </row>
    <row r="10" spans="1:4" x14ac:dyDescent="0.25">
      <c r="A10" s="1" t="s">
        <v>41</v>
      </c>
      <c r="B10" t="str">
        <f t="shared" si="0"/>
        <v>"Previous Offer Name"</v>
      </c>
      <c r="C10" s="2" t="str">
        <f t="shared" si="1"/>
        <v>"Previous Offer Name",</v>
      </c>
    </row>
    <row r="11" spans="1:4" x14ac:dyDescent="0.25">
      <c r="A11" s="1" t="s">
        <v>42</v>
      </c>
      <c r="B11" t="str">
        <f t="shared" si="0"/>
        <v>"Previous Offer Number"</v>
      </c>
      <c r="C11" s="2" t="str">
        <f t="shared" si="1"/>
        <v>"Previous Offer Number",</v>
      </c>
    </row>
    <row r="12" spans="1:4" x14ac:dyDescent="0.25">
      <c r="A12" s="1" t="s">
        <v>7</v>
      </c>
      <c r="B12" t="str">
        <f t="shared" si="0"/>
        <v>"Segment"</v>
      </c>
      <c r="C12" s="2" t="str">
        <f t="shared" si="1"/>
        <v>"Segment",</v>
      </c>
    </row>
    <row r="13" spans="1:4" x14ac:dyDescent="0.25">
      <c r="A13" s="1" t="s">
        <v>8</v>
      </c>
      <c r="B13" t="str">
        <f t="shared" si="0"/>
        <v>"Items Numbers"</v>
      </c>
      <c r="C13" s="2" t="str">
        <f t="shared" si="1"/>
        <v>"Items Numbers",</v>
      </c>
    </row>
    <row r="14" spans="1:4" x14ac:dyDescent="0.25">
      <c r="A14" s="1" t="s">
        <v>9</v>
      </c>
      <c r="B14" t="str">
        <f t="shared" si="0"/>
        <v>"Total Items"</v>
      </c>
      <c r="C14" s="2" t="str">
        <f t="shared" si="1"/>
        <v>"Total Items",</v>
      </c>
    </row>
    <row r="15" spans="1:4" x14ac:dyDescent="0.25">
      <c r="A15" s="1" t="s">
        <v>10</v>
      </c>
      <c r="B15" t="str">
        <f t="shared" si="0"/>
        <v>"Total Cells"</v>
      </c>
      <c r="C15" s="2" t="str">
        <f t="shared" si="1"/>
        <v>"Total Cells",</v>
      </c>
    </row>
    <row r="16" spans="1:4" x14ac:dyDescent="0.25">
      <c r="A16" s="1" t="s">
        <v>11</v>
      </c>
      <c r="B16" t="str">
        <f t="shared" si="0"/>
        <v>"Patch Name"</v>
      </c>
      <c r="C16" s="2" t="str">
        <f t="shared" si="1"/>
        <v>"Patch Name",</v>
      </c>
    </row>
    <row r="17" spans="1:3" x14ac:dyDescent="0.25">
      <c r="A17" s="1" t="s">
        <v>43</v>
      </c>
      <c r="B17" t="str">
        <f t="shared" si="0"/>
        <v>"Item Status"</v>
      </c>
      <c r="C17" s="2" t="str">
        <f t="shared" si="1"/>
        <v>"Item Status",</v>
      </c>
    </row>
    <row r="18" spans="1:3" x14ac:dyDescent="0.25">
      <c r="A18" s="1" t="s">
        <v>44</v>
      </c>
      <c r="B18" t="str">
        <f t="shared" si="0"/>
        <v>"Approval Date"</v>
      </c>
      <c r="C18" s="2" t="str">
        <f t="shared" si="1"/>
        <v>"Approval Date",</v>
      </c>
    </row>
    <row r="19" spans="1:3" x14ac:dyDescent="0.25">
      <c r="A19" s="1" t="s">
        <v>12</v>
      </c>
      <c r="B19" t="str">
        <f t="shared" si="0"/>
        <v>"Common Complexity"</v>
      </c>
      <c r="C19" s="2" t="str">
        <f t="shared" si="1"/>
        <v>"Common Complexity",</v>
      </c>
    </row>
    <row r="20" spans="1:3" x14ac:dyDescent="0.25">
      <c r="A20" s="1" t="s">
        <v>13</v>
      </c>
      <c r="B20" t="str">
        <f t="shared" si="0"/>
        <v>"Receive Date"</v>
      </c>
      <c r="C20" s="2" t="str">
        <f t="shared" si="1"/>
        <v>"Receive Date",</v>
      </c>
    </row>
    <row r="21" spans="1:3" x14ac:dyDescent="0.25">
      <c r="A21" s="1" t="s">
        <v>14</v>
      </c>
      <c r="B21" t="str">
        <f t="shared" si="0"/>
        <v>"SLD Modification"</v>
      </c>
      <c r="C21" s="2" t="str">
        <f t="shared" si="1"/>
        <v>"SLD Modification",</v>
      </c>
    </row>
    <row r="22" spans="1:3" x14ac:dyDescent="0.25">
      <c r="A22" s="1" t="s">
        <v>15</v>
      </c>
      <c r="B22" t="str">
        <f t="shared" si="0"/>
        <v>"Due Date SLD"</v>
      </c>
      <c r="C22" s="2" t="str">
        <f t="shared" si="1"/>
        <v>"Due Date SLD",</v>
      </c>
    </row>
    <row r="23" spans="1:3" x14ac:dyDescent="0.25">
      <c r="A23" s="1" t="s">
        <v>16</v>
      </c>
      <c r="B23" t="str">
        <f t="shared" si="0"/>
        <v>"Due Date CLO SLD"</v>
      </c>
      <c r="C23" s="2" t="str">
        <f t="shared" si="1"/>
        <v>"Due Date CLO SLD",</v>
      </c>
    </row>
    <row r="24" spans="1:3" x14ac:dyDescent="0.25">
      <c r="A24" s="1" t="s">
        <v>17</v>
      </c>
      <c r="B24" t="str">
        <f t="shared" si="0"/>
        <v>"SLD Modification Complexity"</v>
      </c>
      <c r="C24" s="2" t="str">
        <f t="shared" si="1"/>
        <v>"SLD Modification Complexity",</v>
      </c>
    </row>
    <row r="25" spans="1:3" x14ac:dyDescent="0.25">
      <c r="A25" s="1" t="s">
        <v>18</v>
      </c>
      <c r="B25" t="str">
        <f t="shared" si="0"/>
        <v>"SLD Modification Impacted Cells"</v>
      </c>
      <c r="C25" s="2" t="str">
        <f t="shared" si="1"/>
        <v>"SLD Modification Impacted Cells",</v>
      </c>
    </row>
    <row r="26" spans="1:3" x14ac:dyDescent="0.25">
      <c r="A26" s="1" t="s">
        <v>19</v>
      </c>
      <c r="B26" t="str">
        <f t="shared" si="0"/>
        <v>"SLD Drawing Comment"</v>
      </c>
      <c r="C26" s="2" t="str">
        <f t="shared" si="1"/>
        <v>"SLD Drawing Comment",</v>
      </c>
    </row>
    <row r="27" spans="1:3" x14ac:dyDescent="0.25">
      <c r="A27" s="1" t="s">
        <v>20</v>
      </c>
      <c r="B27" t="str">
        <f t="shared" si="0"/>
        <v>"Schematics Modification"</v>
      </c>
      <c r="C27" s="2" t="str">
        <f t="shared" si="1"/>
        <v>"Schematics Modification",</v>
      </c>
    </row>
    <row r="28" spans="1:3" x14ac:dyDescent="0.25">
      <c r="A28" s="1" t="s">
        <v>21</v>
      </c>
      <c r="B28" t="str">
        <f t="shared" si="0"/>
        <v>"Due Date Schematics"</v>
      </c>
      <c r="C28" s="2" t="str">
        <f t="shared" si="1"/>
        <v>"Due Date Schematics",</v>
      </c>
    </row>
    <row r="29" spans="1:3" x14ac:dyDescent="0.25">
      <c r="A29" s="1" t="s">
        <v>22</v>
      </c>
      <c r="B29" t="str">
        <f t="shared" si="0"/>
        <v>"Due Date CLO Schematics"</v>
      </c>
      <c r="C29" s="2" t="str">
        <f t="shared" si="1"/>
        <v>"Due Date CLO Schematics",</v>
      </c>
    </row>
    <row r="30" spans="1:3" x14ac:dyDescent="0.25">
      <c r="A30" s="1" t="s">
        <v>23</v>
      </c>
      <c r="B30" t="str">
        <f t="shared" si="0"/>
        <v>"Schematics Modification Complexity"</v>
      </c>
      <c r="C30" s="2" t="str">
        <f t="shared" si="1"/>
        <v>"Schematics Modification Complexity",</v>
      </c>
    </row>
    <row r="31" spans="1:3" x14ac:dyDescent="0.25">
      <c r="A31" s="1" t="s">
        <v>24</v>
      </c>
      <c r="B31" t="str">
        <f t="shared" si="0"/>
        <v>"Schematics Modification Impacted Cells"</v>
      </c>
      <c r="C31" s="2" t="str">
        <f t="shared" si="1"/>
        <v>"Schematics Modification Impacted Cells",</v>
      </c>
    </row>
    <row r="32" spans="1:3" x14ac:dyDescent="0.25">
      <c r="A32" s="1" t="s">
        <v>25</v>
      </c>
      <c r="B32" t="str">
        <f t="shared" si="0"/>
        <v>"Schematics Drawing Comment"</v>
      </c>
      <c r="C32" s="2" t="str">
        <f t="shared" si="1"/>
        <v>"Schematics Drawing Comment",</v>
      </c>
    </row>
    <row r="33" spans="1:3" x14ac:dyDescent="0.25">
      <c r="A33" s="1" t="s">
        <v>45</v>
      </c>
      <c r="B33" t="str">
        <f t="shared" si="0"/>
        <v>"ABOM Due Date"</v>
      </c>
      <c r="C33" s="2" t="str">
        <f t="shared" si="1"/>
        <v>"ABOM Due Date",</v>
      </c>
    </row>
    <row r="34" spans="1:3" x14ac:dyDescent="0.25">
      <c r="A34" s="1" t="s">
        <v>46</v>
      </c>
      <c r="B34" t="str">
        <f t="shared" si="0"/>
        <v>"ABOM CLO Date"</v>
      </c>
      <c r="C34" s="2" t="str">
        <f t="shared" si="1"/>
        <v>"ABOM CLO Date",</v>
      </c>
    </row>
    <row r="35" spans="1:3" x14ac:dyDescent="0.25">
      <c r="A35" s="1" t="s">
        <v>47</v>
      </c>
      <c r="B35" t="str">
        <f t="shared" si="0"/>
        <v>"ABOM Comment"</v>
      </c>
      <c r="C35" s="2" t="str">
        <f t="shared" si="1"/>
        <v>"ABOM Comment",</v>
      </c>
    </row>
    <row r="36" spans="1:3" x14ac:dyDescent="0.25">
      <c r="A36" s="1" t="s">
        <v>48</v>
      </c>
      <c r="B36" t="str">
        <f t="shared" si="0"/>
        <v>"BBOM Due Date"</v>
      </c>
      <c r="C36" s="2" t="str">
        <f t="shared" si="1"/>
        <v>"BBOM Due Date",</v>
      </c>
    </row>
    <row r="37" spans="1:3" x14ac:dyDescent="0.25">
      <c r="A37" s="1" t="s">
        <v>49</v>
      </c>
      <c r="B37" t="str">
        <f t="shared" si="0"/>
        <v>"BBOM CLO Date"</v>
      </c>
      <c r="C37" s="2" t="str">
        <f t="shared" si="1"/>
        <v>"BBOM CLO Date",</v>
      </c>
    </row>
    <row r="38" spans="1:3" x14ac:dyDescent="0.25">
      <c r="A38" s="1" t="s">
        <v>50</v>
      </c>
      <c r="B38" t="str">
        <f t="shared" si="0"/>
        <v>"BBOM Comment"</v>
      </c>
      <c r="C38" s="2" t="str">
        <f t="shared" si="1"/>
        <v>"BBOM Comment",</v>
      </c>
    </row>
    <row r="39" spans="1:3" x14ac:dyDescent="0.25">
      <c r="A39" s="1" t="s">
        <v>51</v>
      </c>
      <c r="B39" t="str">
        <f t="shared" si="0"/>
        <v>"NSR Due Date"</v>
      </c>
      <c r="C39" s="2" t="str">
        <f t="shared" si="1"/>
        <v>"NSR Due Date",</v>
      </c>
    </row>
    <row r="40" spans="1:3" x14ac:dyDescent="0.25">
      <c r="A40" s="1" t="s">
        <v>52</v>
      </c>
      <c r="B40" t="str">
        <f t="shared" si="0"/>
        <v>"NSR CLO Date"</v>
      </c>
      <c r="C40" s="2" t="str">
        <f t="shared" si="1"/>
        <v>"NSR CLO Date",</v>
      </c>
    </row>
    <row r="41" spans="1:3" x14ac:dyDescent="0.25">
      <c r="A41" s="1" t="s">
        <v>53</v>
      </c>
      <c r="B41" t="str">
        <f t="shared" si="0"/>
        <v>"NSR Comment"</v>
      </c>
      <c r="C41" s="2" t="str">
        <f t="shared" si="1"/>
        <v>"NSR Comment",</v>
      </c>
    </row>
    <row r="42" spans="1:3" x14ac:dyDescent="0.25">
      <c r="A42" s="1" t="s">
        <v>54</v>
      </c>
      <c r="B42" t="str">
        <f t="shared" si="0"/>
        <v>"PF Due Date"</v>
      </c>
      <c r="C42" s="2" t="str">
        <f t="shared" si="1"/>
        <v>"PF Due Date",</v>
      </c>
    </row>
    <row r="43" spans="1:3" x14ac:dyDescent="0.25">
      <c r="A43" s="1" t="s">
        <v>55</v>
      </c>
      <c r="B43" t="str">
        <f t="shared" si="0"/>
        <v>"PF CLO Date"</v>
      </c>
      <c r="C43" s="2" t="str">
        <f t="shared" si="1"/>
        <v>"PF CLO Date",</v>
      </c>
    </row>
    <row r="44" spans="1:3" x14ac:dyDescent="0.25">
      <c r="A44" s="1" t="s">
        <v>56</v>
      </c>
      <c r="B44" t="str">
        <f t="shared" si="0"/>
        <v>"PF Comment"</v>
      </c>
      <c r="C44" s="2" t="str">
        <f t="shared" si="1"/>
        <v>"PF Comment",</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3"/>
  <sheetViews>
    <sheetView tabSelected="1" workbookViewId="0">
      <selection activeCell="A6" sqref="A6"/>
    </sheetView>
  </sheetViews>
  <sheetFormatPr defaultRowHeight="15" x14ac:dyDescent="0.25"/>
  <cols>
    <col min="1" max="1" width="37" bestFit="1" customWidth="1"/>
    <col min="2" max="2" width="20.5703125" customWidth="1"/>
    <col min="3" max="3" width="39.28515625" bestFit="1" customWidth="1"/>
  </cols>
  <sheetData>
    <row r="1" spans="1:4" x14ac:dyDescent="0.25">
      <c r="A1" s="1" t="s">
        <v>0</v>
      </c>
      <c r="B1" t="str">
        <f>""""&amp;A1&amp;""""</f>
        <v>"ID"</v>
      </c>
      <c r="C1" s="2" t="str">
        <f>B1&amp;","</f>
        <v>"ID",</v>
      </c>
      <c r="D1" t="str">
        <f>_xlfn.CONCAT(C1:C66)</f>
        <v>"ID","Designer","Team Leader","Department","Order Name","Project Number","TCR","Is PreBOM","Was Offer","Previous Offer Name","Previous Offer Number","Segment","Item Number","Total Cells","Complexity","Has NSR","Patch Name","Approval Date","Item Status","Family","WBS","Celling Hours","Receive Date","SLD Modification","Due Date SLD","Due Date CLO SLD","Actual Date SLD","Actual Hours SLD","Standard Hours SLD","SLD Modification Complexity","SLD Modification Impacted Cells","SLD Drawing Comment","Schematics Modification","Due Date Schematics","Due Date CLO Schematics","Actual Date Schematics","Actual Hours Schematics","Standard Hours Schematics","Schematics Modification Complexity","Schematics Modification Impacted Cells","Schematics Drawing Comment","ABOM Due Date","ABOM CLO Date","Actual Date ABOM","Actual Hours ABOM","Standard Hours ABOM","ABOM Comment","BBOM Due Date","BBOM CLO Date","Actual Date BBOM","Actual Hours BBOM","Standard Hours BBOM","BBOM Comment","NSR Due Date","NSR CLO Date","Actual Date NSR","Actual Hours NSR","Standard Hours NSR","NSR Comment","PF Due Date","PF CLO Date","Actual Date PF","Actual Hours PF","Standard Hours PF","PF Comment","Index",</v>
      </c>
    </row>
    <row r="2" spans="1:4" x14ac:dyDescent="0.25">
      <c r="A2" s="1" t="s">
        <v>1</v>
      </c>
      <c r="B2" t="str">
        <f t="shared" ref="B2:B65" si="0">""""&amp;A2&amp;""""</f>
        <v>"Designer"</v>
      </c>
      <c r="C2" s="2" t="str">
        <f t="shared" ref="C2:C65" si="1">B2&amp;","</f>
        <v>"Designer",</v>
      </c>
    </row>
    <row r="3" spans="1:4" x14ac:dyDescent="0.25">
      <c r="A3" s="1" t="s">
        <v>2</v>
      </c>
      <c r="B3" t="str">
        <f t="shared" si="0"/>
        <v>"Team Leader"</v>
      </c>
      <c r="C3" s="2" t="str">
        <f t="shared" si="1"/>
        <v>"Team Leader",</v>
      </c>
    </row>
    <row r="4" spans="1:4" x14ac:dyDescent="0.25">
      <c r="A4" s="1" t="s">
        <v>3</v>
      </c>
      <c r="B4" t="str">
        <f t="shared" si="0"/>
        <v>"Department"</v>
      </c>
      <c r="C4" s="2" t="str">
        <f t="shared" si="1"/>
        <v>"Department",</v>
      </c>
    </row>
    <row r="5" spans="1:4" x14ac:dyDescent="0.25">
      <c r="A5" s="1" t="s">
        <v>36</v>
      </c>
      <c r="B5" t="str">
        <f t="shared" si="0"/>
        <v>"Order Name"</v>
      </c>
      <c r="C5" s="2" t="str">
        <f t="shared" si="1"/>
        <v>"Order Name",</v>
      </c>
    </row>
    <row r="6" spans="1:4" x14ac:dyDescent="0.25">
      <c r="A6" s="1" t="s">
        <v>37</v>
      </c>
      <c r="B6" t="str">
        <f t="shared" si="0"/>
        <v>"Project Number"</v>
      </c>
      <c r="C6" s="2" t="str">
        <f t="shared" si="1"/>
        <v>"Project Number",</v>
      </c>
    </row>
    <row r="7" spans="1:4" x14ac:dyDescent="0.25">
      <c r="A7" s="1" t="s">
        <v>38</v>
      </c>
      <c r="B7" t="str">
        <f t="shared" si="0"/>
        <v>"TCR"</v>
      </c>
      <c r="C7" s="2" t="str">
        <f t="shared" si="1"/>
        <v>"TCR",</v>
      </c>
    </row>
    <row r="8" spans="1:4" x14ac:dyDescent="0.25">
      <c r="A8" s="1" t="s">
        <v>39</v>
      </c>
      <c r="B8" t="str">
        <f t="shared" si="0"/>
        <v>"Is PreBOM"</v>
      </c>
      <c r="C8" s="2" t="str">
        <f t="shared" si="1"/>
        <v>"Is PreBOM",</v>
      </c>
    </row>
    <row r="9" spans="1:4" x14ac:dyDescent="0.25">
      <c r="A9" s="1" t="s">
        <v>40</v>
      </c>
      <c r="B9" t="str">
        <f t="shared" si="0"/>
        <v>"Was Offer"</v>
      </c>
      <c r="C9" s="2" t="str">
        <f t="shared" si="1"/>
        <v>"Was Offer",</v>
      </c>
    </row>
    <row r="10" spans="1:4" x14ac:dyDescent="0.25">
      <c r="A10" s="1" t="s">
        <v>41</v>
      </c>
      <c r="B10" t="str">
        <f t="shared" si="0"/>
        <v>"Previous Offer Name"</v>
      </c>
      <c r="C10" s="2" t="str">
        <f t="shared" si="1"/>
        <v>"Previous Offer Name",</v>
      </c>
    </row>
    <row r="11" spans="1:4" x14ac:dyDescent="0.25">
      <c r="A11" s="1" t="s">
        <v>42</v>
      </c>
      <c r="B11" t="str">
        <f t="shared" si="0"/>
        <v>"Previous Offer Number"</v>
      </c>
      <c r="C11" s="2" t="str">
        <f t="shared" si="1"/>
        <v>"Previous Offer Number",</v>
      </c>
    </row>
    <row r="12" spans="1:4" x14ac:dyDescent="0.25">
      <c r="A12" s="1" t="s">
        <v>7</v>
      </c>
      <c r="B12" t="str">
        <f t="shared" si="0"/>
        <v>"Segment"</v>
      </c>
      <c r="C12" s="2" t="str">
        <f t="shared" si="1"/>
        <v>"Segment",</v>
      </c>
    </row>
    <row r="13" spans="1:4" x14ac:dyDescent="0.25">
      <c r="A13" s="1" t="s">
        <v>26</v>
      </c>
      <c r="B13" t="str">
        <f t="shared" si="0"/>
        <v>"Item Number"</v>
      </c>
      <c r="C13" s="2" t="str">
        <f t="shared" si="1"/>
        <v>"Item Number",</v>
      </c>
    </row>
    <row r="14" spans="1:4" x14ac:dyDescent="0.25">
      <c r="A14" s="1" t="s">
        <v>10</v>
      </c>
      <c r="B14" t="str">
        <f t="shared" si="0"/>
        <v>"Total Cells"</v>
      </c>
      <c r="C14" s="2" t="str">
        <f t="shared" si="1"/>
        <v>"Total Cells",</v>
      </c>
    </row>
    <row r="15" spans="1:4" x14ac:dyDescent="0.25">
      <c r="A15" s="1" t="s">
        <v>28</v>
      </c>
      <c r="B15" t="str">
        <f t="shared" si="0"/>
        <v>"Complexity"</v>
      </c>
      <c r="C15" s="2" t="str">
        <f t="shared" si="1"/>
        <v>"Complexity",</v>
      </c>
    </row>
    <row r="16" spans="1:4" x14ac:dyDescent="0.25">
      <c r="A16" s="1" t="s">
        <v>57</v>
      </c>
      <c r="B16" t="str">
        <f t="shared" si="0"/>
        <v>"Has NSR"</v>
      </c>
      <c r="C16" s="2" t="str">
        <f t="shared" si="1"/>
        <v>"Has NSR",</v>
      </c>
    </row>
    <row r="17" spans="1:3" x14ac:dyDescent="0.25">
      <c r="A17" s="1" t="s">
        <v>11</v>
      </c>
      <c r="B17" t="str">
        <f t="shared" si="0"/>
        <v>"Patch Name"</v>
      </c>
      <c r="C17" s="2" t="str">
        <f t="shared" si="1"/>
        <v>"Patch Name",</v>
      </c>
    </row>
    <row r="18" spans="1:3" x14ac:dyDescent="0.25">
      <c r="A18" s="1" t="s">
        <v>44</v>
      </c>
      <c r="B18" t="str">
        <f t="shared" si="0"/>
        <v>"Approval Date"</v>
      </c>
      <c r="C18" s="2" t="str">
        <f t="shared" si="1"/>
        <v>"Approval Date",</v>
      </c>
    </row>
    <row r="19" spans="1:3" x14ac:dyDescent="0.25">
      <c r="A19" s="1" t="s">
        <v>43</v>
      </c>
      <c r="B19" t="str">
        <f t="shared" si="0"/>
        <v>"Item Status"</v>
      </c>
      <c r="C19" s="2" t="str">
        <f t="shared" si="1"/>
        <v>"Item Status",</v>
      </c>
    </row>
    <row r="20" spans="1:3" x14ac:dyDescent="0.25">
      <c r="A20" s="1" t="s">
        <v>27</v>
      </c>
      <c r="B20" t="str">
        <f t="shared" si="0"/>
        <v>"Family"</v>
      </c>
      <c r="C20" s="2" t="str">
        <f t="shared" si="1"/>
        <v>"Family",</v>
      </c>
    </row>
    <row r="21" spans="1:3" x14ac:dyDescent="0.25">
      <c r="A21" s="1" t="s">
        <v>58</v>
      </c>
      <c r="B21" t="str">
        <f t="shared" si="0"/>
        <v>"WBS"</v>
      </c>
      <c r="C21" s="2" t="str">
        <f t="shared" si="1"/>
        <v>"WBS",</v>
      </c>
    </row>
    <row r="22" spans="1:3" x14ac:dyDescent="0.25">
      <c r="A22" s="1" t="s">
        <v>59</v>
      </c>
      <c r="B22" t="str">
        <f t="shared" si="0"/>
        <v>"Celling Hours"</v>
      </c>
      <c r="C22" s="2" t="str">
        <f t="shared" si="1"/>
        <v>"Celling Hours",</v>
      </c>
    </row>
    <row r="23" spans="1:3" x14ac:dyDescent="0.25">
      <c r="A23" s="1" t="s">
        <v>13</v>
      </c>
      <c r="B23" t="str">
        <f t="shared" si="0"/>
        <v>"Receive Date"</v>
      </c>
      <c r="C23" s="2" t="str">
        <f t="shared" si="1"/>
        <v>"Receive Date",</v>
      </c>
    </row>
    <row r="24" spans="1:3" x14ac:dyDescent="0.25">
      <c r="A24" s="1" t="s">
        <v>14</v>
      </c>
      <c r="B24" t="str">
        <f t="shared" si="0"/>
        <v>"SLD Modification"</v>
      </c>
      <c r="C24" s="2" t="str">
        <f t="shared" si="1"/>
        <v>"SLD Modification",</v>
      </c>
    </row>
    <row r="25" spans="1:3" x14ac:dyDescent="0.25">
      <c r="A25" s="1" t="s">
        <v>15</v>
      </c>
      <c r="B25" t="str">
        <f t="shared" si="0"/>
        <v>"Due Date SLD"</v>
      </c>
      <c r="C25" s="2" t="str">
        <f t="shared" si="1"/>
        <v>"Due Date SLD",</v>
      </c>
    </row>
    <row r="26" spans="1:3" x14ac:dyDescent="0.25">
      <c r="A26" s="1" t="s">
        <v>16</v>
      </c>
      <c r="B26" t="str">
        <f t="shared" si="0"/>
        <v>"Due Date CLO SLD"</v>
      </c>
      <c r="C26" s="2" t="str">
        <f t="shared" si="1"/>
        <v>"Due Date CLO SLD",</v>
      </c>
    </row>
    <row r="27" spans="1:3" x14ac:dyDescent="0.25">
      <c r="A27" s="1" t="s">
        <v>29</v>
      </c>
      <c r="B27" t="str">
        <f t="shared" si="0"/>
        <v>"Actual Date SLD"</v>
      </c>
      <c r="C27" s="2" t="str">
        <f t="shared" si="1"/>
        <v>"Actual Date SLD",</v>
      </c>
    </row>
    <row r="28" spans="1:3" x14ac:dyDescent="0.25">
      <c r="A28" s="3" t="s">
        <v>30</v>
      </c>
      <c r="B28" t="str">
        <f t="shared" si="0"/>
        <v>"Actual Hours SLD"</v>
      </c>
      <c r="C28" s="2" t="str">
        <f t="shared" si="1"/>
        <v>"Actual Hours SLD",</v>
      </c>
    </row>
    <row r="29" spans="1:3" x14ac:dyDescent="0.25">
      <c r="A29" s="3" t="s">
        <v>31</v>
      </c>
      <c r="B29" t="str">
        <f t="shared" si="0"/>
        <v>"Standard Hours SLD"</v>
      </c>
      <c r="C29" s="2" t="str">
        <f t="shared" si="1"/>
        <v>"Standard Hours SLD",</v>
      </c>
    </row>
    <row r="30" spans="1:3" x14ac:dyDescent="0.25">
      <c r="A30" s="1" t="s">
        <v>17</v>
      </c>
      <c r="B30" t="str">
        <f t="shared" si="0"/>
        <v>"SLD Modification Complexity"</v>
      </c>
      <c r="C30" s="2" t="str">
        <f t="shared" si="1"/>
        <v>"SLD Modification Complexity",</v>
      </c>
    </row>
    <row r="31" spans="1:3" x14ac:dyDescent="0.25">
      <c r="A31" s="1" t="s">
        <v>18</v>
      </c>
      <c r="B31" t="str">
        <f t="shared" si="0"/>
        <v>"SLD Modification Impacted Cells"</v>
      </c>
      <c r="C31" s="2" t="str">
        <f t="shared" si="1"/>
        <v>"SLD Modification Impacted Cells",</v>
      </c>
    </row>
    <row r="32" spans="1:3" x14ac:dyDescent="0.25">
      <c r="A32" s="1" t="s">
        <v>19</v>
      </c>
      <c r="B32" t="str">
        <f t="shared" si="0"/>
        <v>"SLD Drawing Comment"</v>
      </c>
      <c r="C32" s="2" t="str">
        <f t="shared" si="1"/>
        <v>"SLD Drawing Comment",</v>
      </c>
    </row>
    <row r="33" spans="1:3" x14ac:dyDescent="0.25">
      <c r="A33" s="1" t="s">
        <v>20</v>
      </c>
      <c r="B33" t="str">
        <f t="shared" si="0"/>
        <v>"Schematics Modification"</v>
      </c>
      <c r="C33" s="2" t="str">
        <f t="shared" si="1"/>
        <v>"Schematics Modification",</v>
      </c>
    </row>
    <row r="34" spans="1:3" x14ac:dyDescent="0.25">
      <c r="A34" s="1" t="s">
        <v>21</v>
      </c>
      <c r="B34" t="str">
        <f t="shared" si="0"/>
        <v>"Due Date Schematics"</v>
      </c>
      <c r="C34" s="2" t="str">
        <f t="shared" si="1"/>
        <v>"Due Date Schematics",</v>
      </c>
    </row>
    <row r="35" spans="1:3" x14ac:dyDescent="0.25">
      <c r="A35" s="1" t="s">
        <v>22</v>
      </c>
      <c r="B35" t="str">
        <f t="shared" si="0"/>
        <v>"Due Date CLO Schematics"</v>
      </c>
      <c r="C35" s="2" t="str">
        <f t="shared" si="1"/>
        <v>"Due Date CLO Schematics",</v>
      </c>
    </row>
    <row r="36" spans="1:3" x14ac:dyDescent="0.25">
      <c r="A36" s="1" t="s">
        <v>32</v>
      </c>
      <c r="B36" t="str">
        <f t="shared" si="0"/>
        <v>"Actual Date Schematics"</v>
      </c>
      <c r="C36" s="2" t="str">
        <f t="shared" si="1"/>
        <v>"Actual Date Schematics",</v>
      </c>
    </row>
    <row r="37" spans="1:3" x14ac:dyDescent="0.25">
      <c r="A37" s="1" t="s">
        <v>33</v>
      </c>
      <c r="B37" t="str">
        <f t="shared" si="0"/>
        <v>"Actual Hours Schematics"</v>
      </c>
      <c r="C37" s="2" t="str">
        <f t="shared" si="1"/>
        <v>"Actual Hours Schematics",</v>
      </c>
    </row>
    <row r="38" spans="1:3" x14ac:dyDescent="0.25">
      <c r="A38" s="1" t="s">
        <v>34</v>
      </c>
      <c r="B38" t="str">
        <f t="shared" si="0"/>
        <v>"Standard Hours Schematics"</v>
      </c>
      <c r="C38" s="2" t="str">
        <f t="shared" si="1"/>
        <v>"Standard Hours Schematics",</v>
      </c>
    </row>
    <row r="39" spans="1:3" x14ac:dyDescent="0.25">
      <c r="A39" s="1" t="s">
        <v>23</v>
      </c>
      <c r="B39" t="str">
        <f t="shared" si="0"/>
        <v>"Schematics Modification Complexity"</v>
      </c>
      <c r="C39" s="2" t="str">
        <f t="shared" si="1"/>
        <v>"Schematics Modification Complexity",</v>
      </c>
    </row>
    <row r="40" spans="1:3" x14ac:dyDescent="0.25">
      <c r="A40" s="1" t="s">
        <v>24</v>
      </c>
      <c r="B40" t="str">
        <f t="shared" si="0"/>
        <v>"Schematics Modification Impacted Cells"</v>
      </c>
      <c r="C40" s="2" t="str">
        <f t="shared" si="1"/>
        <v>"Schematics Modification Impacted Cells",</v>
      </c>
    </row>
    <row r="41" spans="1:3" x14ac:dyDescent="0.25">
      <c r="A41" s="1" t="s">
        <v>25</v>
      </c>
      <c r="B41" t="str">
        <f t="shared" si="0"/>
        <v>"Schematics Drawing Comment"</v>
      </c>
      <c r="C41" s="2" t="str">
        <f t="shared" si="1"/>
        <v>"Schematics Drawing Comment",</v>
      </c>
    </row>
    <row r="42" spans="1:3" x14ac:dyDescent="0.25">
      <c r="A42" s="1" t="s">
        <v>45</v>
      </c>
      <c r="B42" t="str">
        <f t="shared" si="0"/>
        <v>"ABOM Due Date"</v>
      </c>
      <c r="C42" s="2" t="str">
        <f t="shared" si="1"/>
        <v>"ABOM Due Date",</v>
      </c>
    </row>
    <row r="43" spans="1:3" x14ac:dyDescent="0.25">
      <c r="A43" s="1" t="s">
        <v>46</v>
      </c>
      <c r="B43" t="str">
        <f t="shared" si="0"/>
        <v>"ABOM CLO Date"</v>
      </c>
      <c r="C43" s="2" t="str">
        <f t="shared" si="1"/>
        <v>"ABOM CLO Date",</v>
      </c>
    </row>
    <row r="44" spans="1:3" x14ac:dyDescent="0.25">
      <c r="A44" s="1" t="s">
        <v>60</v>
      </c>
      <c r="B44" t="str">
        <f t="shared" si="0"/>
        <v>"Actual Date ABOM"</v>
      </c>
      <c r="C44" s="2" t="str">
        <f t="shared" si="1"/>
        <v>"Actual Date ABOM",</v>
      </c>
    </row>
    <row r="45" spans="1:3" x14ac:dyDescent="0.25">
      <c r="A45" s="1" t="s">
        <v>61</v>
      </c>
      <c r="B45" t="str">
        <f t="shared" si="0"/>
        <v>"Actual Hours ABOM"</v>
      </c>
      <c r="C45" s="2" t="str">
        <f t="shared" si="1"/>
        <v>"Actual Hours ABOM",</v>
      </c>
    </row>
    <row r="46" spans="1:3" x14ac:dyDescent="0.25">
      <c r="A46" s="1" t="s">
        <v>62</v>
      </c>
      <c r="B46" t="str">
        <f t="shared" si="0"/>
        <v>"Standard Hours ABOM"</v>
      </c>
      <c r="C46" s="2" t="str">
        <f t="shared" si="1"/>
        <v>"Standard Hours ABOM",</v>
      </c>
    </row>
    <row r="47" spans="1:3" x14ac:dyDescent="0.25">
      <c r="A47" s="1" t="s">
        <v>47</v>
      </c>
      <c r="B47" t="str">
        <f t="shared" si="0"/>
        <v>"ABOM Comment"</v>
      </c>
      <c r="C47" s="2" t="str">
        <f t="shared" si="1"/>
        <v>"ABOM Comment",</v>
      </c>
    </row>
    <row r="48" spans="1:3" x14ac:dyDescent="0.25">
      <c r="A48" s="1" t="s">
        <v>48</v>
      </c>
      <c r="B48" t="str">
        <f t="shared" si="0"/>
        <v>"BBOM Due Date"</v>
      </c>
      <c r="C48" s="2" t="str">
        <f t="shared" si="1"/>
        <v>"BBOM Due Date",</v>
      </c>
    </row>
    <row r="49" spans="1:3" x14ac:dyDescent="0.25">
      <c r="A49" s="1" t="s">
        <v>49</v>
      </c>
      <c r="B49" t="str">
        <f t="shared" si="0"/>
        <v>"BBOM CLO Date"</v>
      </c>
      <c r="C49" s="2" t="str">
        <f t="shared" si="1"/>
        <v>"BBOM CLO Date",</v>
      </c>
    </row>
    <row r="50" spans="1:3" x14ac:dyDescent="0.25">
      <c r="A50" s="1" t="s">
        <v>63</v>
      </c>
      <c r="B50" t="str">
        <f t="shared" si="0"/>
        <v>"Actual Date BBOM"</v>
      </c>
      <c r="C50" s="2" t="str">
        <f t="shared" si="1"/>
        <v>"Actual Date BBOM",</v>
      </c>
    </row>
    <row r="51" spans="1:3" x14ac:dyDescent="0.25">
      <c r="A51" s="1" t="s">
        <v>64</v>
      </c>
      <c r="B51" t="str">
        <f t="shared" si="0"/>
        <v>"Actual Hours BBOM"</v>
      </c>
      <c r="C51" s="2" t="str">
        <f t="shared" si="1"/>
        <v>"Actual Hours BBOM",</v>
      </c>
    </row>
    <row r="52" spans="1:3" x14ac:dyDescent="0.25">
      <c r="A52" s="1" t="s">
        <v>65</v>
      </c>
      <c r="B52" t="str">
        <f t="shared" si="0"/>
        <v>"Standard Hours BBOM"</v>
      </c>
      <c r="C52" s="2" t="str">
        <f t="shared" si="1"/>
        <v>"Standard Hours BBOM",</v>
      </c>
    </row>
    <row r="53" spans="1:3" x14ac:dyDescent="0.25">
      <c r="A53" s="1" t="s">
        <v>50</v>
      </c>
      <c r="B53" t="str">
        <f t="shared" si="0"/>
        <v>"BBOM Comment"</v>
      </c>
      <c r="C53" s="2" t="str">
        <f t="shared" si="1"/>
        <v>"BBOM Comment",</v>
      </c>
    </row>
    <row r="54" spans="1:3" x14ac:dyDescent="0.25">
      <c r="A54" s="1" t="s">
        <v>51</v>
      </c>
      <c r="B54" t="str">
        <f t="shared" si="0"/>
        <v>"NSR Due Date"</v>
      </c>
      <c r="C54" s="2" t="str">
        <f t="shared" si="1"/>
        <v>"NSR Due Date",</v>
      </c>
    </row>
    <row r="55" spans="1:3" x14ac:dyDescent="0.25">
      <c r="A55" s="1" t="s">
        <v>52</v>
      </c>
      <c r="B55" t="str">
        <f t="shared" si="0"/>
        <v>"NSR CLO Date"</v>
      </c>
      <c r="C55" s="2" t="str">
        <f t="shared" si="1"/>
        <v>"NSR CLO Date",</v>
      </c>
    </row>
    <row r="56" spans="1:3" x14ac:dyDescent="0.25">
      <c r="A56" s="1" t="s">
        <v>66</v>
      </c>
      <c r="B56" t="str">
        <f t="shared" si="0"/>
        <v>"Actual Date NSR"</v>
      </c>
      <c r="C56" s="2" t="str">
        <f t="shared" si="1"/>
        <v>"Actual Date NSR",</v>
      </c>
    </row>
    <row r="57" spans="1:3" x14ac:dyDescent="0.25">
      <c r="A57" s="1" t="s">
        <v>67</v>
      </c>
      <c r="B57" t="str">
        <f t="shared" si="0"/>
        <v>"Actual Hours NSR"</v>
      </c>
      <c r="C57" s="2" t="str">
        <f t="shared" si="1"/>
        <v>"Actual Hours NSR",</v>
      </c>
    </row>
    <row r="58" spans="1:3" x14ac:dyDescent="0.25">
      <c r="A58" s="1" t="s">
        <v>68</v>
      </c>
      <c r="B58" t="str">
        <f t="shared" si="0"/>
        <v>"Standard Hours NSR"</v>
      </c>
      <c r="C58" s="2" t="str">
        <f t="shared" si="1"/>
        <v>"Standard Hours NSR",</v>
      </c>
    </row>
    <row r="59" spans="1:3" x14ac:dyDescent="0.25">
      <c r="A59" s="1" t="s">
        <v>53</v>
      </c>
      <c r="B59" t="str">
        <f t="shared" si="0"/>
        <v>"NSR Comment"</v>
      </c>
      <c r="C59" s="2" t="str">
        <f t="shared" si="1"/>
        <v>"NSR Comment",</v>
      </c>
    </row>
    <row r="60" spans="1:3" x14ac:dyDescent="0.25">
      <c r="A60" s="1" t="s">
        <v>54</v>
      </c>
      <c r="B60" t="str">
        <f t="shared" si="0"/>
        <v>"PF Due Date"</v>
      </c>
      <c r="C60" s="2" t="str">
        <f t="shared" si="1"/>
        <v>"PF Due Date",</v>
      </c>
    </row>
    <row r="61" spans="1:3" x14ac:dyDescent="0.25">
      <c r="A61" s="1" t="s">
        <v>55</v>
      </c>
      <c r="B61" t="str">
        <f t="shared" si="0"/>
        <v>"PF CLO Date"</v>
      </c>
      <c r="C61" s="2" t="str">
        <f t="shared" si="1"/>
        <v>"PF CLO Date",</v>
      </c>
    </row>
    <row r="62" spans="1:3" x14ac:dyDescent="0.25">
      <c r="A62" s="1" t="s">
        <v>69</v>
      </c>
      <c r="B62" t="str">
        <f t="shared" si="0"/>
        <v>"Actual Date PF"</v>
      </c>
      <c r="C62" s="2" t="str">
        <f t="shared" si="1"/>
        <v>"Actual Date PF",</v>
      </c>
    </row>
    <row r="63" spans="1:3" x14ac:dyDescent="0.25">
      <c r="A63" s="1" t="s">
        <v>70</v>
      </c>
      <c r="B63" t="str">
        <f t="shared" si="0"/>
        <v>"Actual Hours PF"</v>
      </c>
      <c r="C63" s="2" t="str">
        <f t="shared" si="1"/>
        <v>"Actual Hours PF",</v>
      </c>
    </row>
    <row r="64" spans="1:3" x14ac:dyDescent="0.25">
      <c r="A64" s="1" t="s">
        <v>71</v>
      </c>
      <c r="B64" t="str">
        <f t="shared" si="0"/>
        <v>"Standard Hours PF"</v>
      </c>
      <c r="C64" s="2" t="str">
        <f t="shared" si="1"/>
        <v>"Standard Hours PF",</v>
      </c>
    </row>
    <row r="65" spans="1:3" x14ac:dyDescent="0.25">
      <c r="A65" s="1" t="s">
        <v>56</v>
      </c>
      <c r="B65" t="str">
        <f t="shared" si="0"/>
        <v>"PF Comment"</v>
      </c>
      <c r="C65" s="2" t="str">
        <f t="shared" si="1"/>
        <v>"PF Comment",</v>
      </c>
    </row>
    <row r="66" spans="1:3" x14ac:dyDescent="0.25">
      <c r="A66" s="1" t="s">
        <v>35</v>
      </c>
      <c r="B66" t="str">
        <f t="shared" ref="B66" si="2">""""&amp;A66&amp;""""</f>
        <v>"Index"</v>
      </c>
      <c r="C66" s="2" t="str">
        <f t="shared" ref="C66" si="3">B66&amp;","</f>
        <v>"Index",</v>
      </c>
    </row>
    <row r="70" spans="1:3" x14ac:dyDescent="0.25">
      <c r="A70" s="1" t="s">
        <v>0</v>
      </c>
    </row>
    <row r="71" spans="1:3" x14ac:dyDescent="0.25">
      <c r="A71" s="1" t="s">
        <v>1</v>
      </c>
    </row>
    <row r="72" spans="1:3" x14ac:dyDescent="0.25">
      <c r="A72" s="1" t="s">
        <v>2</v>
      </c>
    </row>
    <row r="73" spans="1:3" x14ac:dyDescent="0.25">
      <c r="A73" s="1" t="s">
        <v>3</v>
      </c>
    </row>
    <row r="74" spans="1:3" x14ac:dyDescent="0.25">
      <c r="A74" s="1" t="s">
        <v>36</v>
      </c>
    </row>
    <row r="75" spans="1:3" x14ac:dyDescent="0.25">
      <c r="A75" s="1" t="s">
        <v>37</v>
      </c>
    </row>
    <row r="76" spans="1:3" x14ac:dyDescent="0.25">
      <c r="A76" s="1" t="s">
        <v>38</v>
      </c>
    </row>
    <row r="77" spans="1:3" x14ac:dyDescent="0.25">
      <c r="A77" s="1" t="s">
        <v>39</v>
      </c>
    </row>
    <row r="78" spans="1:3" x14ac:dyDescent="0.25">
      <c r="A78" s="1" t="s">
        <v>40</v>
      </c>
    </row>
    <row r="79" spans="1:3" x14ac:dyDescent="0.25">
      <c r="A79" s="1" t="s">
        <v>41</v>
      </c>
    </row>
    <row r="80" spans="1:3" x14ac:dyDescent="0.25">
      <c r="A80" s="1" t="s">
        <v>42</v>
      </c>
    </row>
    <row r="81" spans="1:1" x14ac:dyDescent="0.25">
      <c r="A81" s="1" t="s">
        <v>7</v>
      </c>
    </row>
    <row r="82" spans="1:1" x14ac:dyDescent="0.25">
      <c r="A82" s="1" t="s">
        <v>8</v>
      </c>
    </row>
    <row r="83" spans="1:1" x14ac:dyDescent="0.25">
      <c r="A83" s="1" t="s">
        <v>9</v>
      </c>
    </row>
    <row r="84" spans="1:1" x14ac:dyDescent="0.25">
      <c r="A84" s="1" t="s">
        <v>10</v>
      </c>
    </row>
    <row r="85" spans="1:1" x14ac:dyDescent="0.25">
      <c r="A85" s="1" t="s">
        <v>11</v>
      </c>
    </row>
    <row r="86" spans="1:1" x14ac:dyDescent="0.25">
      <c r="A86" s="1" t="s">
        <v>43</v>
      </c>
    </row>
    <row r="87" spans="1:1" x14ac:dyDescent="0.25">
      <c r="A87" s="1" t="s">
        <v>44</v>
      </c>
    </row>
    <row r="88" spans="1:1" x14ac:dyDescent="0.25">
      <c r="A88" s="1" t="s">
        <v>12</v>
      </c>
    </row>
    <row r="89" spans="1:1" x14ac:dyDescent="0.25">
      <c r="A89" s="1" t="s">
        <v>13</v>
      </c>
    </row>
    <row r="90" spans="1:1" x14ac:dyDescent="0.25">
      <c r="A90" s="1" t="s">
        <v>14</v>
      </c>
    </row>
    <row r="91" spans="1:1" x14ac:dyDescent="0.25">
      <c r="A91" s="1" t="s">
        <v>15</v>
      </c>
    </row>
    <row r="92" spans="1:1" x14ac:dyDescent="0.25">
      <c r="A92" s="1" t="s">
        <v>16</v>
      </c>
    </row>
    <row r="93" spans="1:1" x14ac:dyDescent="0.25">
      <c r="A93" s="1" t="s">
        <v>17</v>
      </c>
    </row>
    <row r="94" spans="1:1" x14ac:dyDescent="0.25">
      <c r="A94" s="1" t="s">
        <v>18</v>
      </c>
    </row>
    <row r="95" spans="1:1" x14ac:dyDescent="0.25">
      <c r="A95" s="1" t="s">
        <v>19</v>
      </c>
    </row>
    <row r="96" spans="1:1" x14ac:dyDescent="0.25">
      <c r="A96" s="1" t="s">
        <v>20</v>
      </c>
    </row>
    <row r="97" spans="1:1" x14ac:dyDescent="0.25">
      <c r="A97" s="1" t="s">
        <v>21</v>
      </c>
    </row>
    <row r="98" spans="1:1" x14ac:dyDescent="0.25">
      <c r="A98" s="1" t="s">
        <v>22</v>
      </c>
    </row>
    <row r="99" spans="1:1" x14ac:dyDescent="0.25">
      <c r="A99" s="1" t="s">
        <v>23</v>
      </c>
    </row>
    <row r="100" spans="1:1" x14ac:dyDescent="0.25">
      <c r="A100" s="1" t="s">
        <v>24</v>
      </c>
    </row>
    <row r="101" spans="1:1" x14ac:dyDescent="0.25">
      <c r="A101" s="1" t="s">
        <v>25</v>
      </c>
    </row>
    <row r="102" spans="1:1" x14ac:dyDescent="0.25">
      <c r="A102" s="1" t="s">
        <v>45</v>
      </c>
    </row>
    <row r="103" spans="1:1" x14ac:dyDescent="0.25">
      <c r="A103" s="1" t="s">
        <v>46</v>
      </c>
    </row>
    <row r="104" spans="1:1" x14ac:dyDescent="0.25">
      <c r="A104" s="1" t="s">
        <v>47</v>
      </c>
    </row>
    <row r="105" spans="1:1" x14ac:dyDescent="0.25">
      <c r="A105" s="1" t="s">
        <v>48</v>
      </c>
    </row>
    <row r="106" spans="1:1" x14ac:dyDescent="0.25">
      <c r="A106" s="1" t="s">
        <v>49</v>
      </c>
    </row>
    <row r="107" spans="1:1" x14ac:dyDescent="0.25">
      <c r="A107" s="1" t="s">
        <v>50</v>
      </c>
    </row>
    <row r="108" spans="1:1" x14ac:dyDescent="0.25">
      <c r="A108" s="1" t="s">
        <v>51</v>
      </c>
    </row>
    <row r="109" spans="1:1" x14ac:dyDescent="0.25">
      <c r="A109" s="1" t="s">
        <v>52</v>
      </c>
    </row>
    <row r="110" spans="1:1" x14ac:dyDescent="0.25">
      <c r="A110" s="1" t="s">
        <v>53</v>
      </c>
    </row>
    <row r="111" spans="1:1" x14ac:dyDescent="0.25">
      <c r="A111" s="1" t="s">
        <v>54</v>
      </c>
    </row>
    <row r="112" spans="1:1" x14ac:dyDescent="0.25">
      <c r="A112" s="1" t="s">
        <v>55</v>
      </c>
    </row>
    <row r="113" spans="1:1" x14ac:dyDescent="0.25">
      <c r="A113" s="1" t="s">
        <v>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election activeCell="B1" sqref="B1:C1"/>
    </sheetView>
  </sheetViews>
  <sheetFormatPr defaultRowHeight="15" x14ac:dyDescent="0.25"/>
  <cols>
    <col min="1" max="1" width="37" bestFit="1" customWidth="1"/>
  </cols>
  <sheetData>
    <row r="1" spans="1:4" x14ac:dyDescent="0.25">
      <c r="A1" s="1" t="s">
        <v>1</v>
      </c>
      <c r="B1" t="str">
        <f t="shared" ref="B1:B40" si="0">""""&amp;A1&amp;""""</f>
        <v>"Designer"</v>
      </c>
      <c r="C1" s="2" t="str">
        <f t="shared" ref="C1:C40" si="1">B1&amp;","</f>
        <v>"Designer",</v>
      </c>
      <c r="D1" t="str">
        <f>_xlfn.CONCAT(C1:C40)</f>
        <v>"Designer","Team Leader","Department","Order Name","Project Number","TCR","Is PreBOM","Was Offer","Previous Offer Name","Previous Offer Number","Segment","Total Cells","Patch Name","Approval Date","Item Status","Receive Date","SLD Modification","Due Date SLD","Due Date CLO SLD","SLD Modification Complexity","SLD Modification Impacted Cells","SLD Drawing Comment","Schematics Modification","Due Date Schematics","Due Date CLO Schematics","Schematics Modification Complexity","Schematics Modification Impacted Cells","Schematics Drawing Comment","ABOM Due Date","ABOM CLO Date","ABOM Comment","BBOM Due Date","BBOM CLO Date","BBOM Comment","NSR Due Date","NSR CLO Date","NSR Comment","PF Due Date","PF CLO Date","PF Comment",</v>
      </c>
    </row>
    <row r="2" spans="1:4" x14ac:dyDescent="0.25">
      <c r="A2" s="1" t="s">
        <v>2</v>
      </c>
      <c r="B2" t="str">
        <f t="shared" si="0"/>
        <v>"Team Leader"</v>
      </c>
      <c r="C2" s="2" t="str">
        <f t="shared" si="1"/>
        <v>"Team Leader",</v>
      </c>
    </row>
    <row r="3" spans="1:4" x14ac:dyDescent="0.25">
      <c r="A3" s="1" t="s">
        <v>3</v>
      </c>
      <c r="B3" t="str">
        <f t="shared" si="0"/>
        <v>"Department"</v>
      </c>
      <c r="C3" s="2" t="str">
        <f t="shared" si="1"/>
        <v>"Department",</v>
      </c>
    </row>
    <row r="4" spans="1:4" x14ac:dyDescent="0.25">
      <c r="A4" s="1" t="s">
        <v>36</v>
      </c>
      <c r="B4" t="str">
        <f t="shared" si="0"/>
        <v>"Order Name"</v>
      </c>
      <c r="C4" s="2" t="str">
        <f t="shared" si="1"/>
        <v>"Order Name",</v>
      </c>
    </row>
    <row r="5" spans="1:4" x14ac:dyDescent="0.25">
      <c r="A5" s="1" t="s">
        <v>37</v>
      </c>
      <c r="B5" t="str">
        <f t="shared" si="0"/>
        <v>"Project Number"</v>
      </c>
      <c r="C5" s="2" t="str">
        <f t="shared" si="1"/>
        <v>"Project Number",</v>
      </c>
    </row>
    <row r="6" spans="1:4" x14ac:dyDescent="0.25">
      <c r="A6" s="1" t="s">
        <v>38</v>
      </c>
      <c r="B6" t="str">
        <f t="shared" si="0"/>
        <v>"TCR"</v>
      </c>
      <c r="C6" s="2" t="str">
        <f t="shared" si="1"/>
        <v>"TCR",</v>
      </c>
    </row>
    <row r="7" spans="1:4" x14ac:dyDescent="0.25">
      <c r="A7" s="1" t="s">
        <v>39</v>
      </c>
      <c r="B7" t="str">
        <f t="shared" si="0"/>
        <v>"Is PreBOM"</v>
      </c>
      <c r="C7" s="2" t="str">
        <f t="shared" si="1"/>
        <v>"Is PreBOM",</v>
      </c>
    </row>
    <row r="8" spans="1:4" x14ac:dyDescent="0.25">
      <c r="A8" s="1" t="s">
        <v>40</v>
      </c>
      <c r="B8" t="str">
        <f t="shared" si="0"/>
        <v>"Was Offer"</v>
      </c>
      <c r="C8" s="2" t="str">
        <f t="shared" si="1"/>
        <v>"Was Offer",</v>
      </c>
    </row>
    <row r="9" spans="1:4" x14ac:dyDescent="0.25">
      <c r="A9" s="1" t="s">
        <v>41</v>
      </c>
      <c r="B9" t="str">
        <f t="shared" si="0"/>
        <v>"Previous Offer Name"</v>
      </c>
      <c r="C9" s="2" t="str">
        <f t="shared" si="1"/>
        <v>"Previous Offer Name",</v>
      </c>
    </row>
    <row r="10" spans="1:4" x14ac:dyDescent="0.25">
      <c r="A10" s="1" t="s">
        <v>42</v>
      </c>
      <c r="B10" t="str">
        <f t="shared" si="0"/>
        <v>"Previous Offer Number"</v>
      </c>
      <c r="C10" s="2" t="str">
        <f t="shared" si="1"/>
        <v>"Previous Offer Number",</v>
      </c>
    </row>
    <row r="11" spans="1:4" x14ac:dyDescent="0.25">
      <c r="A11" s="1" t="s">
        <v>7</v>
      </c>
      <c r="B11" t="str">
        <f t="shared" si="0"/>
        <v>"Segment"</v>
      </c>
      <c r="C11" s="2" t="str">
        <f t="shared" si="1"/>
        <v>"Segment",</v>
      </c>
    </row>
    <row r="12" spans="1:4" x14ac:dyDescent="0.25">
      <c r="A12" s="1" t="s">
        <v>10</v>
      </c>
      <c r="B12" t="str">
        <f t="shared" si="0"/>
        <v>"Total Cells"</v>
      </c>
      <c r="C12" s="2" t="str">
        <f t="shared" si="1"/>
        <v>"Total Cells",</v>
      </c>
    </row>
    <row r="13" spans="1:4" x14ac:dyDescent="0.25">
      <c r="A13" s="1" t="s">
        <v>11</v>
      </c>
      <c r="B13" t="str">
        <f t="shared" si="0"/>
        <v>"Patch Name"</v>
      </c>
      <c r="C13" s="2" t="str">
        <f t="shared" si="1"/>
        <v>"Patch Name",</v>
      </c>
    </row>
    <row r="14" spans="1:4" x14ac:dyDescent="0.25">
      <c r="A14" s="1" t="s">
        <v>44</v>
      </c>
      <c r="B14" t="str">
        <f t="shared" si="0"/>
        <v>"Approval Date"</v>
      </c>
      <c r="C14" s="2" t="str">
        <f t="shared" si="1"/>
        <v>"Approval Date",</v>
      </c>
    </row>
    <row r="15" spans="1:4" x14ac:dyDescent="0.25">
      <c r="A15" s="1" t="s">
        <v>43</v>
      </c>
      <c r="B15" t="str">
        <f t="shared" si="0"/>
        <v>"Item Status"</v>
      </c>
      <c r="C15" s="2" t="str">
        <f t="shared" si="1"/>
        <v>"Item Status",</v>
      </c>
    </row>
    <row r="16" spans="1:4" x14ac:dyDescent="0.25">
      <c r="A16" s="1" t="s">
        <v>13</v>
      </c>
      <c r="B16" t="str">
        <f t="shared" si="0"/>
        <v>"Receive Date"</v>
      </c>
      <c r="C16" s="2" t="str">
        <f t="shared" si="1"/>
        <v>"Receive Date",</v>
      </c>
    </row>
    <row r="17" spans="1:3" x14ac:dyDescent="0.25">
      <c r="A17" s="1" t="s">
        <v>14</v>
      </c>
      <c r="B17" t="str">
        <f t="shared" si="0"/>
        <v>"SLD Modification"</v>
      </c>
      <c r="C17" s="2" t="str">
        <f t="shared" si="1"/>
        <v>"SLD Modification",</v>
      </c>
    </row>
    <row r="18" spans="1:3" x14ac:dyDescent="0.25">
      <c r="A18" s="1" t="s">
        <v>15</v>
      </c>
      <c r="B18" t="str">
        <f t="shared" si="0"/>
        <v>"Due Date SLD"</v>
      </c>
      <c r="C18" s="2" t="str">
        <f t="shared" si="1"/>
        <v>"Due Date SLD",</v>
      </c>
    </row>
    <row r="19" spans="1:3" x14ac:dyDescent="0.25">
      <c r="A19" s="1" t="s">
        <v>16</v>
      </c>
      <c r="B19" t="str">
        <f t="shared" si="0"/>
        <v>"Due Date CLO SLD"</v>
      </c>
      <c r="C19" s="2" t="str">
        <f t="shared" si="1"/>
        <v>"Due Date CLO SLD",</v>
      </c>
    </row>
    <row r="20" spans="1:3" x14ac:dyDescent="0.25">
      <c r="A20" s="1" t="s">
        <v>17</v>
      </c>
      <c r="B20" t="str">
        <f t="shared" si="0"/>
        <v>"SLD Modification Complexity"</v>
      </c>
      <c r="C20" s="2" t="str">
        <f t="shared" si="1"/>
        <v>"SLD Modification Complexity",</v>
      </c>
    </row>
    <row r="21" spans="1:3" x14ac:dyDescent="0.25">
      <c r="A21" s="1" t="s">
        <v>18</v>
      </c>
      <c r="B21" t="str">
        <f t="shared" si="0"/>
        <v>"SLD Modification Impacted Cells"</v>
      </c>
      <c r="C21" s="2" t="str">
        <f t="shared" si="1"/>
        <v>"SLD Modification Impacted Cells",</v>
      </c>
    </row>
    <row r="22" spans="1:3" x14ac:dyDescent="0.25">
      <c r="A22" s="1" t="s">
        <v>19</v>
      </c>
      <c r="B22" t="str">
        <f t="shared" si="0"/>
        <v>"SLD Drawing Comment"</v>
      </c>
      <c r="C22" s="2" t="str">
        <f t="shared" si="1"/>
        <v>"SLD Drawing Comment",</v>
      </c>
    </row>
    <row r="23" spans="1:3" x14ac:dyDescent="0.25">
      <c r="A23" s="1" t="s">
        <v>20</v>
      </c>
      <c r="B23" t="str">
        <f t="shared" si="0"/>
        <v>"Schematics Modification"</v>
      </c>
      <c r="C23" s="2" t="str">
        <f t="shared" si="1"/>
        <v>"Schematics Modification",</v>
      </c>
    </row>
    <row r="24" spans="1:3" ht="60" x14ac:dyDescent="0.25">
      <c r="A24" s="1" t="s">
        <v>21</v>
      </c>
      <c r="B24" t="str">
        <f t="shared" si="0"/>
        <v>"Due Date Schematics"</v>
      </c>
      <c r="C24" s="2" t="str">
        <f t="shared" si="1"/>
        <v>"Due Date Schematics",</v>
      </c>
    </row>
    <row r="25" spans="1:3" ht="60" x14ac:dyDescent="0.25">
      <c r="A25" s="1" t="s">
        <v>22</v>
      </c>
      <c r="B25" t="str">
        <f t="shared" si="0"/>
        <v>"Due Date CLO Schematics"</v>
      </c>
      <c r="C25" s="2" t="str">
        <f t="shared" si="1"/>
        <v>"Due Date CLO Schematics",</v>
      </c>
    </row>
    <row r="26" spans="1:3" ht="90" x14ac:dyDescent="0.25">
      <c r="A26" s="1" t="s">
        <v>23</v>
      </c>
      <c r="B26" t="str">
        <f t="shared" si="0"/>
        <v>"Schematics Modification Complexity"</v>
      </c>
      <c r="C26" s="2" t="str">
        <f t="shared" si="1"/>
        <v>"Schematics Modification Complexity",</v>
      </c>
    </row>
    <row r="27" spans="1:3" ht="90" x14ac:dyDescent="0.25">
      <c r="A27" s="1" t="s">
        <v>24</v>
      </c>
      <c r="B27" t="str">
        <f t="shared" si="0"/>
        <v>"Schematics Modification Impacted Cells"</v>
      </c>
      <c r="C27" s="2" t="str">
        <f t="shared" si="1"/>
        <v>"Schematics Modification Impacted Cells",</v>
      </c>
    </row>
    <row r="28" spans="1:3" ht="75" x14ac:dyDescent="0.25">
      <c r="A28" s="1" t="s">
        <v>25</v>
      </c>
      <c r="B28" t="str">
        <f t="shared" si="0"/>
        <v>"Schematics Drawing Comment"</v>
      </c>
      <c r="C28" s="2" t="str">
        <f t="shared" si="1"/>
        <v>"Schematics Drawing Comment",</v>
      </c>
    </row>
    <row r="29" spans="1:3" ht="45" x14ac:dyDescent="0.25">
      <c r="A29" s="1" t="s">
        <v>45</v>
      </c>
      <c r="B29" t="str">
        <f t="shared" si="0"/>
        <v>"ABOM Due Date"</v>
      </c>
      <c r="C29" s="2" t="str">
        <f t="shared" si="1"/>
        <v>"ABOM Due Date",</v>
      </c>
    </row>
    <row r="30" spans="1:3" ht="45" x14ac:dyDescent="0.25">
      <c r="A30" s="1" t="s">
        <v>46</v>
      </c>
      <c r="B30" t="str">
        <f t="shared" si="0"/>
        <v>"ABOM CLO Date"</v>
      </c>
      <c r="C30" s="2" t="str">
        <f t="shared" si="1"/>
        <v>"ABOM CLO Date",</v>
      </c>
    </row>
    <row r="31" spans="1:3" ht="45" x14ac:dyDescent="0.25">
      <c r="A31" s="1" t="s">
        <v>47</v>
      </c>
      <c r="B31" t="str">
        <f t="shared" si="0"/>
        <v>"ABOM Comment"</v>
      </c>
      <c r="C31" s="2" t="str">
        <f t="shared" si="1"/>
        <v>"ABOM Comment",</v>
      </c>
    </row>
    <row r="32" spans="1:3" ht="45" x14ac:dyDescent="0.25">
      <c r="A32" s="1" t="s">
        <v>48</v>
      </c>
      <c r="B32" t="str">
        <f t="shared" si="0"/>
        <v>"BBOM Due Date"</v>
      </c>
      <c r="C32" s="2" t="str">
        <f t="shared" si="1"/>
        <v>"BBOM Due Date",</v>
      </c>
    </row>
    <row r="33" spans="1:3" ht="45" x14ac:dyDescent="0.25">
      <c r="A33" s="1" t="s">
        <v>49</v>
      </c>
      <c r="B33" t="str">
        <f t="shared" si="0"/>
        <v>"BBOM CLO Date"</v>
      </c>
      <c r="C33" s="2" t="str">
        <f t="shared" si="1"/>
        <v>"BBOM CLO Date",</v>
      </c>
    </row>
    <row r="34" spans="1:3" ht="45" x14ac:dyDescent="0.25">
      <c r="A34" s="1" t="s">
        <v>50</v>
      </c>
      <c r="B34" t="str">
        <f t="shared" si="0"/>
        <v>"BBOM Comment"</v>
      </c>
      <c r="C34" s="2" t="str">
        <f t="shared" si="1"/>
        <v>"BBOM Comment",</v>
      </c>
    </row>
    <row r="35" spans="1:3" ht="45" x14ac:dyDescent="0.25">
      <c r="A35" s="1" t="s">
        <v>51</v>
      </c>
      <c r="B35" t="str">
        <f t="shared" si="0"/>
        <v>"NSR Due Date"</v>
      </c>
      <c r="C35" s="2" t="str">
        <f t="shared" si="1"/>
        <v>"NSR Due Date",</v>
      </c>
    </row>
    <row r="36" spans="1:3" ht="45" x14ac:dyDescent="0.25">
      <c r="A36" s="1" t="s">
        <v>52</v>
      </c>
      <c r="B36" t="str">
        <f t="shared" si="0"/>
        <v>"NSR CLO Date"</v>
      </c>
      <c r="C36" s="2" t="str">
        <f t="shared" si="1"/>
        <v>"NSR CLO Date",</v>
      </c>
    </row>
    <row r="37" spans="1:3" ht="45" x14ac:dyDescent="0.25">
      <c r="A37" s="1" t="s">
        <v>53</v>
      </c>
      <c r="B37" t="str">
        <f t="shared" si="0"/>
        <v>"NSR Comment"</v>
      </c>
      <c r="C37" s="2" t="str">
        <f t="shared" si="1"/>
        <v>"NSR Comment",</v>
      </c>
    </row>
    <row r="38" spans="1:3" ht="30" x14ac:dyDescent="0.25">
      <c r="A38" s="1" t="s">
        <v>54</v>
      </c>
      <c r="B38" t="str">
        <f t="shared" si="0"/>
        <v>"PF Due Date"</v>
      </c>
      <c r="C38" s="2" t="str">
        <f t="shared" si="1"/>
        <v>"PF Due Date",</v>
      </c>
    </row>
    <row r="39" spans="1:3" ht="30" x14ac:dyDescent="0.25">
      <c r="A39" s="1" t="s">
        <v>55</v>
      </c>
      <c r="B39" t="str">
        <f t="shared" si="0"/>
        <v>"PF CLO Date"</v>
      </c>
      <c r="C39" s="2" t="str">
        <f t="shared" si="1"/>
        <v>"PF CLO Date",</v>
      </c>
    </row>
    <row r="40" spans="1:3" ht="45" x14ac:dyDescent="0.25">
      <c r="A40" s="1" t="s">
        <v>56</v>
      </c>
      <c r="B40" t="str">
        <f t="shared" si="0"/>
        <v>"PF Comment"</v>
      </c>
      <c r="C40" s="2" t="str">
        <f t="shared" si="1"/>
        <v>"PF Comment",</v>
      </c>
    </row>
  </sheetData>
  <conditionalFormatting sqref="A1:A1048576">
    <cfRule type="duplicateValues" dxfId="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workbookViewId="0">
      <selection activeCell="D1" sqref="D1"/>
    </sheetView>
  </sheetViews>
  <sheetFormatPr defaultRowHeight="15" x14ac:dyDescent="0.25"/>
  <cols>
    <col min="1" max="1" width="37" bestFit="1" customWidth="1"/>
    <col min="3" max="3" width="12" customWidth="1"/>
  </cols>
  <sheetData>
    <row r="1" spans="1:4" ht="30" x14ac:dyDescent="0.25">
      <c r="A1" s="1" t="s">
        <v>1</v>
      </c>
      <c r="B1" t="str">
        <f t="shared" ref="B1:B22" si="0">""""&amp;A1&amp;""""</f>
        <v>"Designer"</v>
      </c>
      <c r="C1" s="2" t="str">
        <f t="shared" ref="C1:C22" si="1">B1&amp;","</f>
        <v>"Designer",</v>
      </c>
      <c r="D1" t="str">
        <f>_xlfn.CONCAT(C1:C22)</f>
        <v>"Designer","Team Leader","Department","Offer Name","Offer Number","TCO","Segment","Total Cells","Patch Name","Receive Date","SLD Modification","Due Date SLD","Due Date CLO SLD","SLD Modification Complexity","SLD Modification Impacted Cells","SLD Drawing Comment","Schematics Modification","Due Date Schematics","Due Date CLO Schematics","Schematics Modification Complexity","Schematics Modification Impacted Cells","Schematics Drawing Comment",</v>
      </c>
    </row>
    <row r="2" spans="1:4" x14ac:dyDescent="0.25">
      <c r="A2" s="1" t="s">
        <v>2</v>
      </c>
      <c r="B2" t="str">
        <f t="shared" si="0"/>
        <v>"Team Leader"</v>
      </c>
      <c r="C2" s="2" t="str">
        <f t="shared" si="1"/>
        <v>"Team Leader",</v>
      </c>
    </row>
    <row r="3" spans="1:4" x14ac:dyDescent="0.25">
      <c r="A3" s="1" t="s">
        <v>3</v>
      </c>
      <c r="B3" t="str">
        <f t="shared" si="0"/>
        <v>"Department"</v>
      </c>
      <c r="C3" s="2" t="str">
        <f t="shared" si="1"/>
        <v>"Department",</v>
      </c>
    </row>
    <row r="4" spans="1:4" x14ac:dyDescent="0.25">
      <c r="A4" s="1" t="s">
        <v>4</v>
      </c>
      <c r="B4" t="str">
        <f t="shared" si="0"/>
        <v>"Offer Name"</v>
      </c>
      <c r="C4" s="2" t="str">
        <f t="shared" si="1"/>
        <v>"Offer Name",</v>
      </c>
    </row>
    <row r="5" spans="1:4" x14ac:dyDescent="0.25">
      <c r="A5" s="1" t="s">
        <v>5</v>
      </c>
      <c r="B5" t="str">
        <f t="shared" si="0"/>
        <v>"Offer Number"</v>
      </c>
      <c r="C5" s="2" t="str">
        <f t="shared" si="1"/>
        <v>"Offer Number",</v>
      </c>
    </row>
    <row r="6" spans="1:4" x14ac:dyDescent="0.25">
      <c r="A6" s="1" t="s">
        <v>6</v>
      </c>
      <c r="B6" t="str">
        <f t="shared" si="0"/>
        <v>"TCO"</v>
      </c>
      <c r="C6" s="2" t="str">
        <f t="shared" si="1"/>
        <v>"TCO",</v>
      </c>
    </row>
    <row r="7" spans="1:4" x14ac:dyDescent="0.25">
      <c r="A7" s="1" t="s">
        <v>7</v>
      </c>
      <c r="B7" t="str">
        <f t="shared" si="0"/>
        <v>"Segment"</v>
      </c>
      <c r="C7" s="2" t="str">
        <f t="shared" si="1"/>
        <v>"Segment",</v>
      </c>
    </row>
    <row r="8" spans="1:4" x14ac:dyDescent="0.25">
      <c r="A8" s="1" t="s">
        <v>10</v>
      </c>
      <c r="B8" t="str">
        <f t="shared" si="0"/>
        <v>"Total Cells"</v>
      </c>
      <c r="C8" s="2" t="str">
        <f t="shared" si="1"/>
        <v>"Total Cells",</v>
      </c>
    </row>
    <row r="9" spans="1:4" x14ac:dyDescent="0.25">
      <c r="A9" s="1" t="s">
        <v>11</v>
      </c>
      <c r="B9" t="str">
        <f t="shared" si="0"/>
        <v>"Patch Name"</v>
      </c>
      <c r="C9" s="2" t="str">
        <f t="shared" si="1"/>
        <v>"Patch Name",</v>
      </c>
    </row>
    <row r="10" spans="1:4" x14ac:dyDescent="0.25">
      <c r="A10" s="1" t="s">
        <v>13</v>
      </c>
      <c r="B10" t="str">
        <f t="shared" si="0"/>
        <v>"Receive Date"</v>
      </c>
      <c r="C10" s="2" t="str">
        <f t="shared" si="1"/>
        <v>"Receive Date",</v>
      </c>
    </row>
    <row r="11" spans="1:4" x14ac:dyDescent="0.25">
      <c r="A11" s="1" t="s">
        <v>14</v>
      </c>
      <c r="B11" t="str">
        <f t="shared" si="0"/>
        <v>"SLD Modification"</v>
      </c>
      <c r="C11" s="2" t="str">
        <f t="shared" si="1"/>
        <v>"SLD Modification",</v>
      </c>
    </row>
    <row r="12" spans="1:4" x14ac:dyDescent="0.25">
      <c r="A12" s="1" t="s">
        <v>15</v>
      </c>
      <c r="B12" t="str">
        <f t="shared" si="0"/>
        <v>"Due Date SLD"</v>
      </c>
      <c r="C12" s="2" t="str">
        <f t="shared" si="1"/>
        <v>"Due Date SLD",</v>
      </c>
    </row>
    <row r="13" spans="1:4" x14ac:dyDescent="0.25">
      <c r="A13" s="1" t="s">
        <v>16</v>
      </c>
      <c r="B13" t="str">
        <f t="shared" si="0"/>
        <v>"Due Date CLO SLD"</v>
      </c>
      <c r="C13" s="2" t="str">
        <f t="shared" si="1"/>
        <v>"Due Date CLO SLD",</v>
      </c>
    </row>
    <row r="14" spans="1:4" x14ac:dyDescent="0.25">
      <c r="A14" s="1" t="s">
        <v>17</v>
      </c>
      <c r="B14" t="str">
        <f t="shared" si="0"/>
        <v>"SLD Modification Complexity"</v>
      </c>
      <c r="C14" s="2" t="str">
        <f t="shared" si="1"/>
        <v>"SLD Modification Complexity",</v>
      </c>
    </row>
    <row r="15" spans="1:4" x14ac:dyDescent="0.25">
      <c r="A15" s="1" t="s">
        <v>18</v>
      </c>
      <c r="B15" t="str">
        <f t="shared" si="0"/>
        <v>"SLD Modification Impacted Cells"</v>
      </c>
      <c r="C15" s="2" t="str">
        <f t="shared" si="1"/>
        <v>"SLD Modification Impacted Cells",</v>
      </c>
    </row>
    <row r="16" spans="1:4" x14ac:dyDescent="0.25">
      <c r="A16" s="1" t="s">
        <v>19</v>
      </c>
      <c r="B16" t="str">
        <f t="shared" si="0"/>
        <v>"SLD Drawing Comment"</v>
      </c>
      <c r="C16" s="2" t="str">
        <f t="shared" si="1"/>
        <v>"SLD Drawing Comment",</v>
      </c>
    </row>
    <row r="17" spans="1:3" x14ac:dyDescent="0.25">
      <c r="A17" s="1" t="s">
        <v>20</v>
      </c>
      <c r="B17" t="str">
        <f t="shared" si="0"/>
        <v>"Schematics Modification"</v>
      </c>
      <c r="C17" s="2" t="str">
        <f t="shared" si="1"/>
        <v>"Schematics Modification",</v>
      </c>
    </row>
    <row r="18" spans="1:3" x14ac:dyDescent="0.25">
      <c r="A18" s="1" t="s">
        <v>21</v>
      </c>
      <c r="B18" t="str">
        <f t="shared" si="0"/>
        <v>"Due Date Schematics"</v>
      </c>
      <c r="C18" s="2" t="str">
        <f t="shared" si="1"/>
        <v>"Due Date Schematics",</v>
      </c>
    </row>
    <row r="19" spans="1:3" x14ac:dyDescent="0.25">
      <c r="A19" s="1" t="s">
        <v>22</v>
      </c>
      <c r="B19" t="str">
        <f t="shared" si="0"/>
        <v>"Due Date CLO Schematics"</v>
      </c>
      <c r="C19" s="2" t="str">
        <f t="shared" si="1"/>
        <v>"Due Date CLO Schematics",</v>
      </c>
    </row>
    <row r="20" spans="1:3" x14ac:dyDescent="0.25">
      <c r="A20" s="1" t="s">
        <v>23</v>
      </c>
      <c r="B20" t="str">
        <f t="shared" si="0"/>
        <v>"Schematics Modification Complexity"</v>
      </c>
      <c r="C20" s="2" t="str">
        <f t="shared" si="1"/>
        <v>"Schematics Modification Complexity",</v>
      </c>
    </row>
    <row r="21" spans="1:3" x14ac:dyDescent="0.25">
      <c r="A21" s="1" t="s">
        <v>24</v>
      </c>
      <c r="B21" t="str">
        <f t="shared" si="0"/>
        <v>"Schematics Modification Impacted Cells"</v>
      </c>
      <c r="C21" s="2" t="str">
        <f t="shared" si="1"/>
        <v>"Schematics Modification Impacted Cells",</v>
      </c>
    </row>
    <row r="22" spans="1:3" x14ac:dyDescent="0.25">
      <c r="A22" s="1" t="s">
        <v>25</v>
      </c>
      <c r="B22" t="str">
        <f t="shared" si="0"/>
        <v>"Schematics Drawing Comment"</v>
      </c>
      <c r="C22" s="2" t="str">
        <f t="shared" si="1"/>
        <v>"Schematics Drawing Comment",</v>
      </c>
    </row>
  </sheetData>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OfferGeneral</vt:lpstr>
      <vt:lpstr>OfferDetail</vt:lpstr>
      <vt:lpstr>OrderGeneral</vt:lpstr>
      <vt:lpstr>OrderDetail</vt:lpstr>
      <vt:lpstr>SAme Order</vt:lpstr>
      <vt:lpstr>SameOffer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2018-05-09T17:50:04Z</dcterms:modified>
</cp:coreProperties>
</file>